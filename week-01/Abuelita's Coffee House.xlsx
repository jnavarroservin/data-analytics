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essicanavarroservin\Documents\DataAnalytics\week-01\"/>
    </mc:Choice>
  </mc:AlternateContent>
  <xr:revisionPtr revIDLastSave="0" documentId="8_{23AC52EB-3218-4AF8-B7A7-39188B03AAB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urvey Data" sheetId="1" r:id="rId1"/>
    <sheet name="Pivot Table_Chart" sheetId="2" r:id="rId2"/>
  </sheets>
  <calcPr calcId="191029"/>
  <pivotCaches>
    <pivotCache cacheId="2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/>
  <c r="J19" i="1"/>
  <c r="D2" i="1"/>
  <c r="D19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</calcChain>
</file>

<file path=xl/sharedStrings.xml><?xml version="1.0" encoding="utf-8"?>
<sst xmlns="http://schemas.openxmlformats.org/spreadsheetml/2006/main" count="216" uniqueCount="104">
  <si>
    <t>Id</t>
  </si>
  <si>
    <t>Start time</t>
  </si>
  <si>
    <t>Completion time</t>
  </si>
  <si>
    <t>Email</t>
  </si>
  <si>
    <t>Name</t>
  </si>
  <si>
    <t>How old are you?</t>
  </si>
  <si>
    <t>Are you a new customer?</t>
  </si>
  <si>
    <t>How much do you usually spend per visit?</t>
  </si>
  <si>
    <t>How likely are you to recommend us to a friend or colleague?</t>
  </si>
  <si>
    <t>Rate your experience at Abuelita's Coffee House?</t>
  </si>
  <si>
    <t>What would make your experience at Abuelita’s Coffee House even better?</t>
  </si>
  <si>
    <t>What loyalty program for rewards and discounts are you interested in?</t>
  </si>
  <si>
    <t>What time of day do you most frequent us?</t>
  </si>
  <si>
    <t>How often do you visit Abuelita’s Coffee House?.</t>
  </si>
  <si>
    <t>Do you visit with friends or family?</t>
  </si>
  <si>
    <t>ccelik@my.yearupunited.org</t>
  </si>
  <si>
    <t>cagla celik</t>
  </si>
  <si>
    <t>18-24</t>
  </si>
  <si>
    <t>Yes</t>
  </si>
  <si>
    <t>$10-$20</t>
  </si>
  <si>
    <t>Somewhat likely</t>
  </si>
  <si>
    <t>More pastry options</t>
  </si>
  <si>
    <t>Points system for every dollar spent that can be redeemed for rewards;Free drinks after every 5 purchases;Discounts on birthday &amp; Hispanic holidays;Exclusive members-only promotions &amp; events;</t>
  </si>
  <si>
    <t>Morning</t>
  </si>
  <si>
    <t>Weekly</t>
  </si>
  <si>
    <t>Friends</t>
  </si>
  <si>
    <t>okaraer@my.yearupunited.org</t>
  </si>
  <si>
    <t>onur karaer</t>
  </si>
  <si>
    <t>25-34</t>
  </si>
  <si>
    <t>Very Unlikely</t>
  </si>
  <si>
    <t>Kinder and faster service</t>
  </si>
  <si>
    <t>Free drinks after every 5 purchases;Discounts on birthday &amp; Hispanic holidays;Points system for every dollar spent that can be redeemed for rewards;Exclusive members-only promotions &amp; events;</t>
  </si>
  <si>
    <t>Afternoon</t>
  </si>
  <si>
    <t>Seasonal</t>
  </si>
  <si>
    <t>Neither/Alone</t>
  </si>
  <si>
    <t>tarista@my.yearupunited.org</t>
  </si>
  <si>
    <t>tracy arista</t>
  </si>
  <si>
    <t>No</t>
  </si>
  <si>
    <t>more drink options</t>
  </si>
  <si>
    <t>Both</t>
  </si>
  <si>
    <t>kmarsh1@my.yearupunited.org</t>
  </si>
  <si>
    <t>kiersten marsh</t>
  </si>
  <si>
    <t>$5-$10</t>
  </si>
  <si>
    <t>Very likely</t>
  </si>
  <si>
    <t>Maybe add frozen drink options</t>
  </si>
  <si>
    <t>Points system for every dollar spent that can be redeemed for rewards;Exclusive members-only promotions &amp; events;Free drinks after every 5 purchases;Discounts on birthday &amp; Hispanic holidays;</t>
  </si>
  <si>
    <t>cugur@my.yearupunited.org</t>
  </si>
  <si>
    <t>ceyhun ugur</t>
  </si>
  <si>
    <t>discounts</t>
  </si>
  <si>
    <t>Exclusive members-only promotions &amp; events;Points system for every dollar spent that can be redeemed for rewards;Free drinks after every 5 purchases;Discounts on birthday &amp; Hispanic holidays;</t>
  </si>
  <si>
    <t>Yearly</t>
  </si>
  <si>
    <t>Family</t>
  </si>
  <si>
    <t>jalmarazflores@my.yearupunited.org</t>
  </si>
  <si>
    <t>julissa almarazflores</t>
  </si>
  <si>
    <t>More drink options</t>
  </si>
  <si>
    <t>asago@my.yearupunited.org</t>
  </si>
  <si>
    <t>antwaushea sago</t>
  </si>
  <si>
    <t>More desserts on the menu</t>
  </si>
  <si>
    <t>Monthly</t>
  </si>
  <si>
    <t>wpoindexter@my.yearupunited.org</t>
  </si>
  <si>
    <t>william poindexter</t>
  </si>
  <si>
    <t>Neutral</t>
  </si>
  <si>
    <t>N/a</t>
  </si>
  <si>
    <t>Points system for every dollar spent that can be redeemed for rewards;Discounts on birthday &amp; Hispanic holidays;Free drinks after every 5 purchases;Exclusive members-only promotions &amp; events;</t>
  </si>
  <si>
    <t>ssimsek@my.yearupunited.org</t>
  </si>
  <si>
    <t>sultan simsek</t>
  </si>
  <si>
    <t>Diversity in traditional tastes</t>
  </si>
  <si>
    <t>Free drinks after every 5 purchases;Points system for every dollar spent that can be redeemed for rewards;Discounts on birthday &amp; Hispanic holidays;Exclusive members-only promotions &amp; events;</t>
  </si>
  <si>
    <t>pmartinez@my.yearupunited.org</t>
  </si>
  <si>
    <t>paola martinez</t>
  </si>
  <si>
    <t xml:space="preserve">I would love if Abuelita's had more diverse seating for remote workers or those coming in groups </t>
  </si>
  <si>
    <t>mruiz3@my.yearupunited.org</t>
  </si>
  <si>
    <t>maritza ruiz</t>
  </si>
  <si>
    <t>More food options</t>
  </si>
  <si>
    <t>Discounts on birthday &amp; Hispanic holidays;Free drinks after every 5 purchases;Exclusive members-only promotions &amp; events;Points system for every dollar spent that can be redeemed for rewards;</t>
  </si>
  <si>
    <t>edebero@my.yearupunited.org</t>
  </si>
  <si>
    <t>eyerusalem debero</t>
  </si>
  <si>
    <t>Faster service and more seating space during busy hours.</t>
  </si>
  <si>
    <t>Points system for every dollar spent that can be redeemed for rewards;Exclusive members-only promotions &amp; events;Discounts on birthday &amp; Hispanic holidays;Free drinks after every 5 purchases;</t>
  </si>
  <si>
    <t>gmutize@my.yearupunited.org</t>
  </si>
  <si>
    <t>godknows mutize</t>
  </si>
  <si>
    <t>Speed the service</t>
  </si>
  <si>
    <t>Daily</t>
  </si>
  <si>
    <t>rmengesha@my.yearupunited.org</t>
  </si>
  <si>
    <t>vegan options</t>
  </si>
  <si>
    <t>Free drinks after every 5 purchases;Exclusive members-only promotions &amp; events;Points system for every dollar spent that can be redeemed for rewards;Discounts on birthday &amp; Hispanic holidays;</t>
  </si>
  <si>
    <t>arollins@my.yearupunited.org</t>
  </si>
  <si>
    <t>ariel rollins</t>
  </si>
  <si>
    <t>More loyalty program rewards</t>
  </si>
  <si>
    <t>aosorio@my.yearupunited.org</t>
  </si>
  <si>
    <t>angel osorio</t>
  </si>
  <si>
    <t>Under 18</t>
  </si>
  <si>
    <t>Hotter coffee</t>
  </si>
  <si>
    <t>Free drinks after every 5 purchases;Discounts on birthday &amp; Hispanic holidays;Exclusive members-only promotions &amp; events;Points system for every dollar spent that can be redeemed for rewards;</t>
  </si>
  <si>
    <t>sbowens@my.yearupunited.org</t>
  </si>
  <si>
    <t>shaquan bowens</t>
  </si>
  <si>
    <t>Option to buy the coffee grinds.</t>
  </si>
  <si>
    <t>Exclusive members-only promotions &amp; events;Free drinks after every 5 purchases;Points system for every dollar spent that can be redeemed for rewards;Discounts on birthday &amp; Hispanic holidays;</t>
  </si>
  <si>
    <t>Time To Complete</t>
  </si>
  <si>
    <t>How likely are you to return to Abuelita’s Coffee House?</t>
  </si>
  <si>
    <t>=SUM(COUNTIF([How likely are you to return to Abuelita’s Coffee House?], "Somewhat likely"), COUNTIF([How likely are you to return to Abuelita’s Coffee House?], Very likely")</t>
  </si>
  <si>
    <t>Row Labels</t>
  </si>
  <si>
    <t>Grand Total</t>
  </si>
  <si>
    <t>Count of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</si>
</sst>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mm/dd/yyyy\ hh:mm:ss"/>
    <numFmt numFmtId="177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  <xf numFmtId="170" fontId="0" fillId="0" borderId="0" xfId="0" applyNumberFormat="1"/>
    <xf numFmtId="45" fontId="0" fillId="0" borderId="0" xfId="0" applyNumberFormat="1"/>
    <xf numFmtId="49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49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4"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177" formatCode="0.0"/>
      <alignment horizontal="center" vertical="bottom" textRotation="0" wrapText="0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177" formatCode="0.0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28" formatCode="mm:ss"/>
    </dxf>
    <dxf>
      <numFmt numFmtId="170" formatCode="mm/dd/yyyy\ hh:mm:ss"/>
    </dxf>
    <dxf>
      <numFmt numFmtId="170" formatCode="mm/dd/yyyy\ hh:mm:ss"/>
    </dxf>
    <dxf>
      <numFmt numFmtId="0" formatCode="General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28" formatCode="mm:ss"/>
    </dxf>
    <dxf>
      <numFmt numFmtId="170" formatCode="mm/dd/yyyy\ hh:mm:ss"/>
    </dxf>
    <dxf>
      <numFmt numFmtId="170" formatCode="mm/dd/yyyy\ h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[Abuelita's Coffee House.xlsx]Pivot Table_Chart!PivotTable4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Table_Chart'!$B$3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cat>
            <c:strRef>
              <c:f>'Pivot Table_Chart'!$A$4:$A$7</c:f>
              <c:strCache>
                <c:ptCount val="3"/>
                <c:pt idx="0">
                  <c:v>18-24</c:v>
                </c:pt>
                <c:pt idx="1">
                  <c:v>25-34</c:v>
                </c:pt>
                <c:pt idx="2">
                  <c:v>Under 18</c:v>
                </c:pt>
              </c:strCache>
            </c:strRef>
          </c:cat>
          <c:val>
            <c:numRef>
              <c:f>'Pivot Table_Chart'!$B$4:$B$7</c:f>
              <c:numCache>
                <c:formatCode>General</c:formatCode>
                <c:ptCount val="3"/>
                <c:pt idx="0">
                  <c:v>5</c:v>
                </c:pt>
                <c:pt idx="1">
                  <c:v>11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C-49F6-B9B7-8D12768F4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[Abuelita's Coffee House.xlsx]Pivot Table_Chart!PivotTable5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Table_Chart'!$O$4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Table_Chart'!$N$5:$N$7</c:f>
              <c:strCache>
                <c:ptCount val="2"/>
                <c:pt idx="0">
                  <c:v>$10-$20</c:v>
                </c:pt>
                <c:pt idx="1">
                  <c:v>$5-$10</c:v>
                </c:pt>
              </c:strCache>
            </c:strRef>
          </c:cat>
          <c:val>
            <c:numRef>
              <c:f>'Pivot Table_Chart'!$O$5:$O$7</c:f>
              <c:numCache>
                <c:formatCode>General</c:formatCode>
                <c:ptCount val="2"/>
                <c:pt idx="0">
                  <c:v>13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44-4E1D-BA7B-A4C467F18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234783"/>
        <c:axId val="500236703"/>
      </c:barChart>
      <c:catAx>
        <c:axId val="50023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236703"/>
        <c:crosses val="autoZero"/>
        <c:auto val="1"/>
        <c:lblAlgn val="ctr"/>
        <c:lblOffset val="100"/>
        <c:noMultiLvlLbl val="0"/>
      </c:catAx>
      <c:valAx>
        <c:axId val="50023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23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7</xdr:row>
      <xdr:rowOff>34290</xdr:rowOff>
    </xdr:from>
    <xdr:to>
      <xdr:col>6</xdr:col>
      <xdr:colOff>388620</xdr:colOff>
      <xdr:row>22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E6C9E-67B5-2BC3-468E-C2713AE713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579120</xdr:colOff>
      <xdr:row>7</xdr:row>
      <xdr:rowOff>57150</xdr:rowOff>
    </xdr:from>
    <xdr:to>
      <xdr:col>16</xdr:col>
      <xdr:colOff>38100</xdr:colOff>
      <xdr:row>20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CE5719-9FE2-C6EF-9880-E613FE82C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ssica navarroservin" refreshedDate="46124.637008217593" createdVersion="8" refreshedVersion="8" minRefreshableVersion="3" recordCount="17" xr:uid="{D87792A7-E045-4995-9035-B8D90859C813}">
  <cacheSource type="worksheet">
    <worksheetSource name="OfficeForms.Table"/>
  </cacheSource>
  <cacheFields count="17">
    <cacheField name="Id" numFmtId="0">
      <sharedItems containsSemiMixedTypes="0" containsString="0" containsNumber="1" containsInteger="1" minValue="1" maxValue="17"/>
    </cacheField>
    <cacheField name="Start time" numFmtId="170">
      <sharedItems containsSemiMixedTypes="0" containsNonDate="0" containsDate="1" containsString="0" minDate="2026-04-09T13:53:15" maxDate="2026-04-10T15:06:40"/>
    </cacheField>
    <cacheField name="Completion time" numFmtId="170">
      <sharedItems containsSemiMixedTypes="0" containsNonDate="0" containsDate="1" containsString="0" minDate="2026-04-09T13:54:43" maxDate="2026-04-10T15:07:36"/>
    </cacheField>
    <cacheField name="Time To Complete" numFmtId="45">
      <sharedItems containsSemiMixedTypes="0" containsNonDate="0" containsDate="1" containsString="0" minDate="1899-12-30T00:00:26" maxDate="1899-12-30T00:15:12"/>
    </cacheField>
    <cacheField name="Email" numFmtId="0">
      <sharedItems/>
    </cacheField>
    <cacheField name="Name" numFmtId="0">
      <sharedItems count="17">
        <s v="cagla celik"/>
        <s v="onur karaer"/>
        <s v="tracy arista"/>
        <s v="kiersten marsh"/>
        <s v="ceyhun ugur"/>
        <s v="julissa almarazflores"/>
        <s v="antwaushea sago"/>
        <s v="william poindexter"/>
        <s v="sultan simsek"/>
        <s v="paola martinez"/>
        <s v="maritza ruiz"/>
        <s v="eyerusalem debero"/>
        <s v="godknows mutize"/>
        <s v="rmengesha@my.yearupunited.org"/>
        <s v="ariel rollins"/>
        <s v="angel osorio"/>
        <s v="shaquan bowens"/>
      </sharedItems>
    </cacheField>
    <cacheField name="How old are you?" numFmtId="0">
      <sharedItems count="3">
        <s v="18-24"/>
        <s v="25-34"/>
        <s v="Under 18"/>
      </sharedItems>
    </cacheField>
    <cacheField name="Are you a new customer?" numFmtId="0">
      <sharedItems count="2">
        <s v="Yes"/>
        <s v="No"/>
      </sharedItems>
    </cacheField>
    <cacheField name="How much do you usually spend per visit?" numFmtId="0">
      <sharedItems count="2">
        <s v="$10-$20"/>
        <s v="$5-$10"/>
      </sharedItems>
    </cacheField>
    <cacheField name="How likely are you to recommend us to a friend or colleague?" numFmtId="0">
      <sharedItems containsSemiMixedTypes="0" containsString="0" containsNumber="1" containsInteger="1" minValue="2" maxValue="10"/>
    </cacheField>
    <cacheField name="How likely are you to return to Abuelita’s Coffee House?" numFmtId="0">
      <sharedItems/>
    </cacheField>
    <cacheField name="Rate your experience at Abuelita's Coffee House?" numFmtId="0">
      <sharedItems containsSemiMixedTypes="0" containsString="0" containsNumber="1" containsInteger="1" minValue="2" maxValue="5" count="4">
        <n v="4"/>
        <n v="2"/>
        <n v="3"/>
        <n v="5"/>
      </sharedItems>
    </cacheField>
    <cacheField name="What would make your experience at Abuelita’s Coffee House even better?" numFmtId="0">
      <sharedItems/>
    </cacheField>
    <cacheField name="What loyalty program for rewards and discounts are you interested in?" numFmtId="0">
      <sharedItems/>
    </cacheField>
    <cacheField name="What time of day do you most frequent us?" numFmtId="0">
      <sharedItems/>
    </cacheField>
    <cacheField name="How often do you visit Abuelita’s Coffee House?." numFmtId="0">
      <sharedItems count="5">
        <s v="Weekly"/>
        <s v="Seasonal"/>
        <s v="Yearly"/>
        <s v="Monthly"/>
        <s v="Daily"/>
      </sharedItems>
    </cacheField>
    <cacheField name="Do you visit with friends or family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1"/>
    <d v="2026-04-09T13:53:15"/>
    <d v="2026-04-09T13:54:43"/>
    <d v="1899-12-30T00:01:28"/>
    <s v="ccelik@my.yearupunited.org"/>
    <x v="0"/>
    <x v="0"/>
    <x v="0"/>
    <x v="0"/>
    <n v="6"/>
    <s v="Somewhat likely"/>
    <x v="0"/>
    <s v="More pastry options"/>
    <s v="Points system for every dollar spent that can be redeemed for rewards;Free drinks after every 5 purchases;Discounts on birthday &amp; Hispanic holidays;Exclusive members-only promotions &amp; events;"/>
    <s v="Morning"/>
    <x v="0"/>
    <s v="Friends"/>
  </r>
  <r>
    <n v="2"/>
    <d v="2026-04-09T13:57:11"/>
    <d v="2026-04-09T13:58:19"/>
    <d v="1899-12-30T00:01:08"/>
    <s v="okaraer@my.yearupunited.org"/>
    <x v="1"/>
    <x v="1"/>
    <x v="0"/>
    <x v="0"/>
    <n v="2"/>
    <s v="Very Unlikely"/>
    <x v="1"/>
    <s v="Kinder and faster service"/>
    <s v="Free drinks after every 5 purchases;Discounts on birthday &amp; Hispanic holidays;Points system for every dollar spent that can be redeemed for rewards;Exclusive members-only promotions &amp; events;"/>
    <s v="Afternoon"/>
    <x v="1"/>
    <s v="Neither/Alone"/>
  </r>
  <r>
    <n v="3"/>
    <d v="2026-04-09T13:56:58"/>
    <d v="2026-04-09T13:59:10"/>
    <d v="1899-12-30T00:02:12"/>
    <s v="tarista@my.yearupunited.org"/>
    <x v="2"/>
    <x v="1"/>
    <x v="1"/>
    <x v="0"/>
    <n v="6"/>
    <s v="Somewhat likely"/>
    <x v="2"/>
    <s v="more drink options"/>
    <s v="Free drinks after every 5 purchases;Discounts on birthday &amp; Hispanic holidays;Points system for every dollar spent that can be redeemed for rewards;Exclusive members-only promotions &amp; events;"/>
    <s v="Morning"/>
    <x v="1"/>
    <s v="Both"/>
  </r>
  <r>
    <n v="4"/>
    <d v="2026-04-09T13:55:21"/>
    <d v="2026-04-09T13:59:56"/>
    <d v="1899-12-30T00:04:35"/>
    <s v="kmarsh1@my.yearupunited.org"/>
    <x v="3"/>
    <x v="0"/>
    <x v="1"/>
    <x v="1"/>
    <n v="10"/>
    <s v="Very likely"/>
    <x v="3"/>
    <s v="Maybe add frozen drink options"/>
    <s v="Points system for every dollar spent that can be redeemed for rewards;Exclusive members-only promotions &amp; events;Free drinks after every 5 purchases;Discounts on birthday &amp; Hispanic holidays;"/>
    <s v="Morning"/>
    <x v="0"/>
    <s v="Neither/Alone"/>
  </r>
  <r>
    <n v="5"/>
    <d v="2026-04-09T14:00:26"/>
    <d v="2026-04-09T14:00:55"/>
    <d v="1899-12-30T00:00:29"/>
    <s v="cugur@my.yearupunited.org"/>
    <x v="4"/>
    <x v="1"/>
    <x v="0"/>
    <x v="0"/>
    <n v="8"/>
    <s v="Very likely"/>
    <x v="3"/>
    <s v="discounts"/>
    <s v="Exclusive members-only promotions &amp; events;Points system for every dollar spent that can be redeemed for rewards;Free drinks after every 5 purchases;Discounts on birthday &amp; Hispanic holidays;"/>
    <s v="Afternoon"/>
    <x v="2"/>
    <s v="Family"/>
  </r>
  <r>
    <n v="6"/>
    <d v="2026-04-09T14:00:14"/>
    <d v="2026-04-09T14:01:19"/>
    <d v="1899-12-30T00:01:05"/>
    <s v="jalmarazflores@my.yearupunited.org"/>
    <x v="5"/>
    <x v="1"/>
    <x v="0"/>
    <x v="0"/>
    <n v="9"/>
    <s v="Very likely"/>
    <x v="0"/>
    <s v="more drink options"/>
    <s v="Free drinks after every 5 purchases;Discounts on birthday &amp; Hispanic holidays;Points system for every dollar spent that can be redeemed for rewards;Exclusive members-only promotions &amp; events;"/>
    <s v="Morning"/>
    <x v="0"/>
    <s v="Friends"/>
  </r>
  <r>
    <n v="7"/>
    <d v="2026-04-09T13:59:21"/>
    <d v="2026-04-09T14:01:41"/>
    <d v="1899-12-30T00:02:20"/>
    <s v="asago@my.yearupunited.org"/>
    <x v="6"/>
    <x v="1"/>
    <x v="0"/>
    <x v="0"/>
    <n v="8"/>
    <s v="Very likely"/>
    <x v="0"/>
    <s v="More desserts on the menu"/>
    <s v="Points system for every dollar spent that can be redeemed for rewards;Free drinks after every 5 purchases;Discounts on birthday &amp; Hispanic holidays;Exclusive members-only promotions &amp; events;"/>
    <s v="Afternoon"/>
    <x v="3"/>
    <s v="Neither/Alone"/>
  </r>
  <r>
    <n v="8"/>
    <d v="2026-04-09T14:01:48"/>
    <d v="2026-04-09T14:02:14"/>
    <d v="1899-12-30T00:00:26"/>
    <s v="wpoindexter@my.yearupunited.org"/>
    <x v="7"/>
    <x v="1"/>
    <x v="0"/>
    <x v="0"/>
    <n v="10"/>
    <s v="Neutral"/>
    <x v="0"/>
    <s v="N/a"/>
    <s v="Points system for every dollar spent that can be redeemed for rewards;Discounts on birthday &amp; Hispanic holidays;Free drinks after every 5 purchases;Exclusive members-only promotions &amp; events;"/>
    <s v="Morning"/>
    <x v="0"/>
    <s v="Family"/>
  </r>
  <r>
    <n v="9"/>
    <d v="2026-04-09T16:27:38"/>
    <d v="2026-04-09T16:31:57"/>
    <d v="1899-12-30T00:04:19"/>
    <s v="ssimsek@my.yearupunited.org"/>
    <x v="8"/>
    <x v="1"/>
    <x v="0"/>
    <x v="0"/>
    <n v="9"/>
    <s v="Somewhat likely"/>
    <x v="0"/>
    <s v="Diversity in traditional tastes"/>
    <s v="Free drinks after every 5 purchases;Points system for every dollar spent that can be redeemed for rewards;Discounts on birthday &amp; Hispanic holidays;Exclusive members-only promotions &amp; events;"/>
    <s v="Morning"/>
    <x v="1"/>
    <s v="Friends"/>
  </r>
  <r>
    <n v="10"/>
    <d v="2026-04-09T16:47:04"/>
    <d v="2026-04-09T16:49:31"/>
    <d v="1899-12-30T00:02:27"/>
    <s v="pmartinez@my.yearupunited.org"/>
    <x v="9"/>
    <x v="1"/>
    <x v="0"/>
    <x v="0"/>
    <n v="10"/>
    <s v="Very likely"/>
    <x v="3"/>
    <s v="I would love if Abuelita's had more diverse seating for remote workers or those coming in groups "/>
    <s v="Free drinks after every 5 purchases;Points system for every dollar spent that can be redeemed for rewards;Discounts on birthday &amp; Hispanic holidays;Exclusive members-only promotions &amp; events;"/>
    <s v="Morning"/>
    <x v="1"/>
    <s v="Neither/Alone"/>
  </r>
  <r>
    <n v="11"/>
    <d v="2026-04-09T17:10:15"/>
    <d v="2026-04-09T17:25:27"/>
    <d v="1899-12-30T00:15:12"/>
    <s v="mruiz3@my.yearupunited.org"/>
    <x v="10"/>
    <x v="1"/>
    <x v="0"/>
    <x v="0"/>
    <n v="7"/>
    <s v="Neutral"/>
    <x v="0"/>
    <s v="More food options"/>
    <s v="Discounts on birthday &amp; Hispanic holidays;Free drinks after every 5 purchases;Exclusive members-only promotions &amp; events;Points system for every dollar spent that can be redeemed for rewards;"/>
    <s v="Morning"/>
    <x v="1"/>
    <s v="Friends"/>
  </r>
  <r>
    <n v="12"/>
    <d v="2026-04-09T17:45:11"/>
    <d v="2026-04-09T17:47:32"/>
    <d v="1899-12-30T00:02:21"/>
    <s v="edebero@my.yearupunited.org"/>
    <x v="11"/>
    <x v="0"/>
    <x v="0"/>
    <x v="1"/>
    <n v="10"/>
    <s v="Very likely"/>
    <x v="3"/>
    <s v="Faster service and more seating space during busy hours."/>
    <s v="Points system for every dollar spent that can be redeemed for rewards;Exclusive members-only promotions &amp; events;Discounts on birthday &amp; Hispanic holidays;Free drinks after every 5 purchases;"/>
    <s v="Morning"/>
    <x v="0"/>
    <s v="Friends"/>
  </r>
  <r>
    <n v="13"/>
    <d v="2026-04-10T00:10:31"/>
    <d v="2026-04-10T00:13:45"/>
    <d v="1899-12-30T00:03:14"/>
    <s v="gmutize@my.yearupunited.org"/>
    <x v="12"/>
    <x v="1"/>
    <x v="0"/>
    <x v="0"/>
    <n v="10"/>
    <s v="Very likely"/>
    <x v="3"/>
    <s v="Speed the service"/>
    <s v="Points system for every dollar spent that can be redeemed for rewards;Free drinks after every 5 purchases;Discounts on birthday &amp; Hispanic holidays;Exclusive members-only promotions &amp; events;"/>
    <s v="Afternoon"/>
    <x v="4"/>
    <s v="Friends"/>
  </r>
  <r>
    <n v="14"/>
    <d v="2026-04-10T10:22:49"/>
    <d v="2026-04-10T10:24:09"/>
    <d v="1899-12-30T00:01:20"/>
    <s v="rmengesha@my.yearupunited.org"/>
    <x v="13"/>
    <x v="0"/>
    <x v="0"/>
    <x v="0"/>
    <n v="9"/>
    <s v="Somewhat likely"/>
    <x v="3"/>
    <s v="vegan options"/>
    <s v="Free drinks after every 5 purchases;Exclusive members-only promotions &amp; events;Points system for every dollar spent that can be redeemed for rewards;Discounts on birthday &amp; Hispanic holidays;"/>
    <s v="Afternoon"/>
    <x v="3"/>
    <s v="Family"/>
  </r>
  <r>
    <n v="15"/>
    <d v="2026-04-10T10:36:24"/>
    <d v="2026-04-10T10:37:39"/>
    <d v="1899-12-30T00:01:15"/>
    <s v="arollins@my.yearupunited.org"/>
    <x v="14"/>
    <x v="1"/>
    <x v="0"/>
    <x v="0"/>
    <n v="6"/>
    <s v="Neutral"/>
    <x v="2"/>
    <s v="More loyalty program rewards"/>
    <s v="Points system for every dollar spent that can be redeemed for rewards;Discounts on birthday &amp; Hispanic holidays;Free drinks after every 5 purchases;Exclusive members-only promotions &amp; events;"/>
    <s v="Morning"/>
    <x v="1"/>
    <s v="Both"/>
  </r>
  <r>
    <n v="16"/>
    <d v="2026-04-10T14:30:16"/>
    <d v="2026-04-10T14:40:44"/>
    <d v="1899-12-30T00:10:28"/>
    <s v="aosorio@my.yearupunited.org"/>
    <x v="15"/>
    <x v="2"/>
    <x v="0"/>
    <x v="1"/>
    <n v="7"/>
    <s v="Somewhat likely"/>
    <x v="0"/>
    <s v="Hotter coffee"/>
    <s v="Free drinks after every 5 purchases;Discounts on birthday &amp; Hispanic holidays;Exclusive members-only promotions &amp; events;Points system for every dollar spent that can be redeemed for rewards;"/>
    <s v="Morning"/>
    <x v="1"/>
    <s v="Neither/Alone"/>
  </r>
  <r>
    <n v="17"/>
    <d v="2026-04-10T15:06:40"/>
    <d v="2026-04-10T15:07:36"/>
    <d v="1899-12-30T00:00:56"/>
    <s v="sbowens@my.yearupunited.org"/>
    <x v="16"/>
    <x v="0"/>
    <x v="0"/>
    <x v="1"/>
    <n v="7"/>
    <s v="Neutral"/>
    <x v="0"/>
    <s v="Option to buy the coffee grinds."/>
    <s v="Exclusive members-only promotions &amp; events;Free drinks after every 5 purchases;Points system for every dollar spent that can be redeemed for rewards;Discounts on birthday &amp; Hispanic holidays;"/>
    <s v="Morning"/>
    <x v="3"/>
    <s v="Neither/Alo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35B9F1-B9A0-45E3-9DE7-AB65B1B31CF2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N4:O7" firstHeaderRow="1" firstDataRow="1" firstDataCol="1"/>
  <pivotFields count="17">
    <pivotField showAll="0"/>
    <pivotField numFmtId="170" showAll="0"/>
    <pivotField numFmtId="170" showAll="0"/>
    <pivotField numFmtId="45" showAll="0"/>
    <pivotField showAll="0"/>
    <pivotField dataField="1" showAll="0">
      <items count="18">
        <item x="15"/>
        <item x="6"/>
        <item x="14"/>
        <item x="0"/>
        <item x="4"/>
        <item x="11"/>
        <item x="12"/>
        <item x="5"/>
        <item x="3"/>
        <item x="10"/>
        <item x="1"/>
        <item x="9"/>
        <item x="13"/>
        <item x="16"/>
        <item x="8"/>
        <item x="2"/>
        <item x="7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Name" fld="5" subtotal="count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05CB64-8D2C-41F7-BD3C-8D1B7B99B919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7">
    <pivotField showAll="0"/>
    <pivotField numFmtId="170" showAll="0"/>
    <pivotField numFmtId="170" showAll="0"/>
    <pivotField numFmtId="45"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3"/>
        <item x="1"/>
        <item x="0"/>
        <item x="2"/>
        <item t="default"/>
      </items>
    </pivotField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Name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Q19" totalsRowCount="1">
  <autoFilter ref="A1:Q18" xr:uid="{00000000-0009-0000-0100-000001000000}"/>
  <tableColumns count="17">
    <tableColumn id="1" xr3:uid="{00000000-0010-0000-0000-000001000000}" name="Id" dataDxfId="33" totalsRowDxfId="16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32" totalsRowDxfId="15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31" totalsRowDxfId="14">
      <extLst>
        <ext xmlns:xlmsforms="http://schemas.microsoft.com/office/spreadsheetml/2023/msForms" uri="{FCC71383-01E1-4257-9335-427F07BE8D7F}">
          <xlmsforms:question id="submitDate"/>
        </ext>
      </extLst>
    </tableColumn>
    <tableColumn id="6" xr3:uid="{4317EC0E-8C85-46AD-8D66-4CA5E04967DB}" name="Time To Complete" totalsRowFunction="custom" dataDxfId="30" totalsRowDxfId="13">
      <calculatedColumnFormula>C2-B2</calculatedColumnFormula>
      <totalsRowFormula>AVERAGE(D2:D18)</totalsRowFormula>
    </tableColumn>
    <tableColumn id="4" xr3:uid="{00000000-0010-0000-0000-000004000000}" name="Email" dataDxfId="29" totalsRowDxfId="12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28" totalsRowDxfId="11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9" xr3:uid="{00000000-0010-0000-0000-000009000000}" name="How old are you?" dataDxfId="27" totalsRowDxfId="10">
      <extLst>
        <ext xmlns:xlmsforms="http://schemas.microsoft.com/office/spreadsheetml/2023/msForms" uri="{FCC71383-01E1-4257-9335-427F07BE8D7F}">
          <xlmsforms:question id="r47a93a2acc704071842e32f0d7f8d22c"/>
        </ext>
      </extLst>
    </tableColumn>
    <tableColumn id="12" xr3:uid="{00000000-0010-0000-0000-00000C000000}" name="Are you a new customer?" dataDxfId="26" totalsRowDxfId="9">
      <extLst>
        <ext xmlns:xlmsforms="http://schemas.microsoft.com/office/spreadsheetml/2023/msForms" uri="{FCC71383-01E1-4257-9335-427F07BE8D7F}">
          <xlmsforms:question id="r57f86a941d0446598fd9f428a07841ff"/>
        </ext>
      </extLst>
    </tableColumn>
    <tableColumn id="15" xr3:uid="{00000000-0010-0000-0000-00000F000000}" name="How much do you usually spend per visit?" dataDxfId="25" totalsRowDxfId="8">
      <extLst>
        <ext xmlns:xlmsforms="http://schemas.microsoft.com/office/spreadsheetml/2023/msForms" uri="{FCC71383-01E1-4257-9335-427F07BE8D7F}">
          <xlmsforms:question id="r1236c20c2d6847a79f228f74801a7c4d"/>
        </ext>
      </extLst>
    </tableColumn>
    <tableColumn id="18" xr3:uid="{00000000-0010-0000-0000-000012000000}" name="How likely are you to recommend us to a friend or colleague?" totalsRowFunction="custom" dataDxfId="24" totalsRowDxfId="7">
      <totalsRowFormula>AVERAGE(J2:J18)</totalsRowFormula>
      <extLst>
        <ext xmlns:xlmsforms="http://schemas.microsoft.com/office/spreadsheetml/2023/msForms" uri="{FCC71383-01E1-4257-9335-427F07BE8D7F}">
          <xlmsforms:question id="ra16a69ea198d411ebdcbd3d5fa140696"/>
        </ext>
      </extLst>
    </tableColumn>
    <tableColumn id="23" xr3:uid="{00000000-0010-0000-0000-000017000000}" name="How likely are you to return to Abuelita’s Coffee House?" totalsRowLabel="=SUM(COUNTIF([How likely are you to return to Abuelita’s Coffee House?], &quot;Somewhat likely&quot;), COUNTIF([How likely are you to return to Abuelita’s Coffee House?], Very likely&quot;)" dataDxfId="23" totalsRowDxfId="6">
      <extLst>
        <ext xmlns:xlmsforms="http://schemas.microsoft.com/office/spreadsheetml/2023/msForms" uri="{FCC71383-01E1-4257-9335-427F07BE8D7F}">
          <xlmsforms:question id="r54f5d64d1e4740aa8f60c92d444812f0"/>
        </ext>
      </extLst>
    </tableColumn>
    <tableColumn id="26" xr3:uid="{00000000-0010-0000-0000-00001A000000}" name="Rate your experience at Abuelita's Coffee House?" totalsRowFunction="custom" dataDxfId="22" totalsRowDxfId="5">
      <totalsRowFormula>AVERAGE(L2:L18)</totalsRowFormula>
      <extLst>
        <ext xmlns:xlmsforms="http://schemas.microsoft.com/office/spreadsheetml/2023/msForms" uri="{FCC71383-01E1-4257-9335-427F07BE8D7F}">
          <xlmsforms:question id="rb90ff469e896467596ea781ebcbb2d26"/>
        </ext>
      </extLst>
    </tableColumn>
    <tableColumn id="29" xr3:uid="{00000000-0010-0000-0000-00001D000000}" name="What would make your experience at Abuelita’s Coffee House even better?" dataDxfId="21" totalsRowDxfId="4">
      <extLst>
        <ext xmlns:xlmsforms="http://schemas.microsoft.com/office/spreadsheetml/2023/msForms" uri="{FCC71383-01E1-4257-9335-427F07BE8D7F}">
          <xlmsforms:question id="r893a25ce4a214cada8111654a3be559a"/>
        </ext>
      </extLst>
    </tableColumn>
    <tableColumn id="32" xr3:uid="{00000000-0010-0000-0000-000020000000}" name="What loyalty program for rewards and discounts are you interested in?" dataDxfId="20" totalsRowDxfId="3">
      <extLst>
        <ext xmlns:xlmsforms="http://schemas.microsoft.com/office/spreadsheetml/2023/msForms" uri="{FCC71383-01E1-4257-9335-427F07BE8D7F}">
          <xlmsforms:question id="r2286b16750ad4c6d84fe880b3413bf31"/>
        </ext>
      </extLst>
    </tableColumn>
    <tableColumn id="35" xr3:uid="{00000000-0010-0000-0000-000023000000}" name="What time of day do you most frequent us?" dataDxfId="19" totalsRowDxfId="2">
      <extLst>
        <ext xmlns:xlmsforms="http://schemas.microsoft.com/office/spreadsheetml/2023/msForms" uri="{FCC71383-01E1-4257-9335-427F07BE8D7F}">
          <xlmsforms:question id="r84db5bce278e4369b6ca951d4a341cbe"/>
        </ext>
      </extLst>
    </tableColumn>
    <tableColumn id="40" xr3:uid="{00000000-0010-0000-0000-000028000000}" name="How often do you visit Abuelita’s Coffee House?." dataDxfId="18" totalsRowDxfId="1">
      <extLst>
        <ext xmlns:xlmsforms="http://schemas.microsoft.com/office/spreadsheetml/2023/msForms" uri="{FCC71383-01E1-4257-9335-427F07BE8D7F}">
          <xlmsforms:question id="re245bdb067f043adbe3a1b46e01b2b18"/>
        </ext>
      </extLst>
    </tableColumn>
    <tableColumn id="43" xr3:uid="{00000000-0010-0000-0000-00002B000000}" name="Do you visit with friends or family?" dataDxfId="17" totalsRowDxfId="0">
      <extLst>
        <ext xmlns:xlmsforms="http://schemas.microsoft.com/office/spreadsheetml/2023/msForms" uri="{FCC71383-01E1-4257-9335-427F07BE8D7F}">
          <xlmsforms:question id="ree78bdb5deee4e6dbeac013918241e9f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3S9YNdfWAhMmbNfIkeyintURTg2RE9UNFpBODYwNTVWWVRQVFFHOTJNUy4u" isFormConnected="1" maxResponseId="17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totalScore</xlmsforms:syncedQuestionId>
        <xlmsforms:syncedQuestionId>quizFeedback</xlmsforms:syncedQuestionId>
        <xlmsforms:syncedQuestionId>releaseDate</xlmsforms:syncedQuestionId>
        <xlmsforms:syncedQuestionId>r47a93a2acc704071842e32f0d7f8d22c</xlmsforms:syncedQuestionId>
        <xlmsforms:syncedQuestionId>r47a93a2acc704071842e32f0d7f8d22c-Score</xlmsforms:syncedQuestionId>
        <xlmsforms:syncedQuestionId>r47a93a2acc704071842e32f0d7f8d22c-Comment</xlmsforms:syncedQuestionId>
        <xlmsforms:syncedQuestionId>r57f86a941d0446598fd9f428a07841ff</xlmsforms:syncedQuestionId>
        <xlmsforms:syncedQuestionId>r57f86a941d0446598fd9f428a07841ff-Score</xlmsforms:syncedQuestionId>
        <xlmsforms:syncedQuestionId>r57f86a941d0446598fd9f428a07841ff-Comment</xlmsforms:syncedQuestionId>
        <xlmsforms:syncedQuestionId>r1236c20c2d6847a79f228f74801a7c4d</xlmsforms:syncedQuestionId>
        <xlmsforms:syncedQuestionId>r1236c20c2d6847a79f228f74801a7c4d-Score</xlmsforms:syncedQuestionId>
        <xlmsforms:syncedQuestionId>r1236c20c2d6847a79f228f74801a7c4d-Comment</xlmsforms:syncedQuestionId>
        <xlmsforms:syncedQuestionId>ra16a69ea198d411ebdcbd3d5fa140696</xlmsforms:syncedQuestionId>
        <xlmsforms:syncedQuestionId>ra16a69ea198d411ebdcbd3d5fa140696-Score</xlmsforms:syncedQuestionId>
        <xlmsforms:syncedQuestionId>ra16a69ea198d411ebdcbd3d5fa140696-Comment</xlmsforms:syncedQuestionId>
        <xlmsforms:syncedQuestionId>r3fad2cf2501d412182e78a36bd65f435-Score</xlmsforms:syncedQuestionId>
        <xlmsforms:syncedQuestionId>r3fad2cf2501d412182e78a36bd65f435-Comment</xlmsforms:syncedQuestionId>
        <xlmsforms:syncedQuestionId>r54f5d64d1e4740aa8f60c92d444812f0</xlmsforms:syncedQuestionId>
        <xlmsforms:syncedQuestionId>r54f5d64d1e4740aa8f60c92d444812f0-Score</xlmsforms:syncedQuestionId>
        <xlmsforms:syncedQuestionId>r54f5d64d1e4740aa8f60c92d444812f0-Comment</xlmsforms:syncedQuestionId>
        <xlmsforms:syncedQuestionId>rb90ff469e896467596ea781ebcbb2d26</xlmsforms:syncedQuestionId>
        <xlmsforms:syncedQuestionId>rb90ff469e896467596ea781ebcbb2d26-Score</xlmsforms:syncedQuestionId>
        <xlmsforms:syncedQuestionId>rb90ff469e896467596ea781ebcbb2d26-Comment</xlmsforms:syncedQuestionId>
        <xlmsforms:syncedQuestionId>r893a25ce4a214cada8111654a3be559a</xlmsforms:syncedQuestionId>
        <xlmsforms:syncedQuestionId>r893a25ce4a214cada8111654a3be559a-Score</xlmsforms:syncedQuestionId>
        <xlmsforms:syncedQuestionId>r893a25ce4a214cada8111654a3be559a-Comment</xlmsforms:syncedQuestionId>
        <xlmsforms:syncedQuestionId>r2286b16750ad4c6d84fe880b3413bf31</xlmsforms:syncedQuestionId>
        <xlmsforms:syncedQuestionId>r2286b16750ad4c6d84fe880b3413bf31-Score</xlmsforms:syncedQuestionId>
        <xlmsforms:syncedQuestionId>r2286b16750ad4c6d84fe880b3413bf31-Comment</xlmsforms:syncedQuestionId>
        <xlmsforms:syncedQuestionId>r84db5bce278e4369b6ca951d4a341cbe</xlmsforms:syncedQuestionId>
        <xlmsforms:syncedQuestionId>r84db5bce278e4369b6ca951d4a341cbe-Score</xlmsforms:syncedQuestionId>
        <xlmsforms:syncedQuestionId>r84db5bce278e4369b6ca951d4a341cbe-Comment</xlmsforms:syncedQuestionId>
        <xlmsforms:syncedQuestionId>r1ff75a3ce71e49678211318d8505bf66-Score</xlmsforms:syncedQuestionId>
        <xlmsforms:syncedQuestionId>r1ff75a3ce71e49678211318d8505bf66-Comment</xlmsforms:syncedQuestionId>
        <xlmsforms:syncedQuestionId>re245bdb067f043adbe3a1b46e01b2b18</xlmsforms:syncedQuestionId>
        <xlmsforms:syncedQuestionId>re245bdb067f043adbe3a1b46e01b2b18-Score</xlmsforms:syncedQuestionId>
        <xlmsforms:syncedQuestionId>re245bdb067f043adbe3a1b46e01b2b18-Comment</xlmsforms:syncedQuestionId>
        <xlmsforms:syncedQuestionId>ree78bdb5deee4e6dbeac013918241e9f</xlmsforms:syncedQuestionId>
        <xlmsforms:syncedQuestionId>ree78bdb5deee4e6dbeac013918241e9f-Score</xlmsforms:syncedQuestionId>
        <xlmsforms:syncedQuestionId>ree78bdb5deee4e6dbeac013918241e9f-Comment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opLeftCell="A2" workbookViewId="0">
      <selection activeCell="A2" sqref="A2:Q18"/>
    </sheetView>
  </sheetViews>
  <sheetFormatPr defaultRowHeight="14.4" x14ac:dyDescent="0.3"/>
  <cols>
    <col min="1" max="1" width="4.88671875" bestFit="1" customWidth="1"/>
    <col min="2" max="3" width="18.33203125" style="4" bestFit="1" customWidth="1"/>
    <col min="4" max="4" width="18.33203125" style="5" customWidth="1"/>
    <col min="5" max="5" width="31.77734375" bestFit="1" customWidth="1"/>
    <col min="6" max="6" width="29" bestFit="1" customWidth="1"/>
    <col min="7" max="7" width="17.88671875" style="2" bestFit="1" customWidth="1"/>
    <col min="8" max="8" width="24.77734375" style="2" bestFit="1" customWidth="1"/>
    <col min="9" max="9" width="39" bestFit="1" customWidth="1"/>
    <col min="10" max="10" width="55.5546875" style="2" bestFit="1" customWidth="1"/>
    <col min="11" max="11" width="51.5546875" bestFit="1" customWidth="1"/>
    <col min="12" max="12" width="45.109375" style="2" bestFit="1" customWidth="1"/>
    <col min="13" max="13" width="20" bestFit="1" customWidth="1"/>
    <col min="14" max="14" width="61" customWidth="1"/>
    <col min="15" max="17" width="20" style="2" bestFit="1" customWidth="1"/>
    <col min="18" max="21" width="20" bestFit="1" customWidth="1"/>
  </cols>
  <sheetData>
    <row r="1" spans="1:17" x14ac:dyDescent="0.3">
      <c r="A1" t="s">
        <v>0</v>
      </c>
      <c r="B1" s="4" t="s">
        <v>1</v>
      </c>
      <c r="C1" s="4" t="s">
        <v>2</v>
      </c>
      <c r="D1" s="5" t="s">
        <v>98</v>
      </c>
      <c r="E1" t="s">
        <v>3</v>
      </c>
      <c r="F1" t="s">
        <v>4</v>
      </c>
      <c r="G1" s="2" t="s">
        <v>5</v>
      </c>
      <c r="H1" s="2" t="s">
        <v>6</v>
      </c>
      <c r="I1" t="s">
        <v>7</v>
      </c>
      <c r="J1" s="2" t="s">
        <v>8</v>
      </c>
      <c r="K1" s="3" t="s">
        <v>99</v>
      </c>
      <c r="L1" s="2" t="s">
        <v>9</v>
      </c>
      <c r="M1" t="s">
        <v>10</v>
      </c>
      <c r="N1" t="s">
        <v>11</v>
      </c>
      <c r="O1" s="2" t="s">
        <v>12</v>
      </c>
      <c r="P1" s="2" t="s">
        <v>13</v>
      </c>
      <c r="Q1" s="2" t="s">
        <v>14</v>
      </c>
    </row>
    <row r="2" spans="1:17" x14ac:dyDescent="0.3">
      <c r="A2">
        <v>1</v>
      </c>
      <c r="B2" s="4">
        <v>46121.578645833331</v>
      </c>
      <c r="C2" s="4">
        <v>46121.579664351855</v>
      </c>
      <c r="D2" s="5">
        <f t="shared" ref="D2:D18" si="0">C2-B2</f>
        <v>1.0185185237787664E-3</v>
      </c>
      <c r="E2" t="s">
        <v>15</v>
      </c>
      <c r="F2" t="s">
        <v>16</v>
      </c>
      <c r="G2" s="2" t="s">
        <v>17</v>
      </c>
      <c r="H2" s="2" t="s">
        <v>18</v>
      </c>
      <c r="I2" t="s">
        <v>19</v>
      </c>
      <c r="J2" s="2">
        <v>6</v>
      </c>
      <c r="K2" s="3" t="s">
        <v>20</v>
      </c>
      <c r="L2" s="2">
        <v>4</v>
      </c>
      <c r="M2" t="s">
        <v>21</v>
      </c>
      <c r="N2" t="s">
        <v>22</v>
      </c>
      <c r="O2" s="2" t="s">
        <v>23</v>
      </c>
      <c r="P2" s="2" t="s">
        <v>24</v>
      </c>
      <c r="Q2" s="2" t="s">
        <v>25</v>
      </c>
    </row>
    <row r="3" spans="1:17" x14ac:dyDescent="0.3">
      <c r="A3">
        <v>2</v>
      </c>
      <c r="B3" s="4">
        <v>46121.581377314818</v>
      </c>
      <c r="C3" s="4">
        <v>46121.58216435185</v>
      </c>
      <c r="D3" s="5">
        <f t="shared" si="0"/>
        <v>7.8703703184146434E-4</v>
      </c>
      <c r="E3" t="s">
        <v>26</v>
      </c>
      <c r="F3" t="s">
        <v>27</v>
      </c>
      <c r="G3" s="2" t="s">
        <v>28</v>
      </c>
      <c r="H3" s="2" t="s">
        <v>18</v>
      </c>
      <c r="I3" t="s">
        <v>19</v>
      </c>
      <c r="J3" s="2">
        <v>2</v>
      </c>
      <c r="K3" s="3" t="s">
        <v>29</v>
      </c>
      <c r="L3" s="2">
        <v>2</v>
      </c>
      <c r="M3" t="s">
        <v>30</v>
      </c>
      <c r="N3" t="s">
        <v>31</v>
      </c>
      <c r="O3" s="2" t="s">
        <v>32</v>
      </c>
      <c r="P3" s="2" t="s">
        <v>33</v>
      </c>
      <c r="Q3" s="2" t="s">
        <v>34</v>
      </c>
    </row>
    <row r="4" spans="1:17" x14ac:dyDescent="0.3">
      <c r="A4">
        <v>3</v>
      </c>
      <c r="B4" s="4">
        <v>46121.581226851849</v>
      </c>
      <c r="C4" s="4">
        <v>46121.582754629628</v>
      </c>
      <c r="D4" s="5">
        <f t="shared" si="0"/>
        <v>1.527777778392192E-3</v>
      </c>
      <c r="E4" t="s">
        <v>35</v>
      </c>
      <c r="F4" t="s">
        <v>36</v>
      </c>
      <c r="G4" s="2" t="s">
        <v>28</v>
      </c>
      <c r="H4" s="2" t="s">
        <v>37</v>
      </c>
      <c r="I4" t="s">
        <v>19</v>
      </c>
      <c r="J4" s="2">
        <v>6</v>
      </c>
      <c r="K4" s="3" t="s">
        <v>20</v>
      </c>
      <c r="L4" s="2">
        <v>3</v>
      </c>
      <c r="M4" t="s">
        <v>38</v>
      </c>
      <c r="N4" t="s">
        <v>31</v>
      </c>
      <c r="O4" s="2" t="s">
        <v>23</v>
      </c>
      <c r="P4" s="2" t="s">
        <v>33</v>
      </c>
      <c r="Q4" s="2" t="s">
        <v>39</v>
      </c>
    </row>
    <row r="5" spans="1:17" x14ac:dyDescent="0.3">
      <c r="A5">
        <v>4</v>
      </c>
      <c r="B5" s="4">
        <v>46121.580104166664</v>
      </c>
      <c r="C5" s="4">
        <v>46121.583287037036</v>
      </c>
      <c r="D5" s="5">
        <f t="shared" si="0"/>
        <v>3.1828703722567298E-3</v>
      </c>
      <c r="E5" t="s">
        <v>40</v>
      </c>
      <c r="F5" t="s">
        <v>41</v>
      </c>
      <c r="G5" s="2" t="s">
        <v>17</v>
      </c>
      <c r="H5" s="2" t="s">
        <v>37</v>
      </c>
      <c r="I5" t="s">
        <v>42</v>
      </c>
      <c r="J5" s="2">
        <v>10</v>
      </c>
      <c r="K5" s="3" t="s">
        <v>43</v>
      </c>
      <c r="L5" s="2">
        <v>5</v>
      </c>
      <c r="M5" t="s">
        <v>44</v>
      </c>
      <c r="N5" t="s">
        <v>45</v>
      </c>
      <c r="O5" s="2" t="s">
        <v>23</v>
      </c>
      <c r="P5" s="2" t="s">
        <v>24</v>
      </c>
      <c r="Q5" s="2" t="s">
        <v>34</v>
      </c>
    </row>
    <row r="6" spans="1:17" x14ac:dyDescent="0.3">
      <c r="A6">
        <v>5</v>
      </c>
      <c r="B6" s="4">
        <v>46121.583634259259</v>
      </c>
      <c r="C6" s="4">
        <v>46121.583969907406</v>
      </c>
      <c r="D6" s="5">
        <f t="shared" si="0"/>
        <v>3.3564814657438546E-4</v>
      </c>
      <c r="E6" t="s">
        <v>46</v>
      </c>
      <c r="F6" t="s">
        <v>47</v>
      </c>
      <c r="G6" s="2" t="s">
        <v>28</v>
      </c>
      <c r="H6" s="2" t="s">
        <v>18</v>
      </c>
      <c r="I6" t="s">
        <v>19</v>
      </c>
      <c r="J6" s="2">
        <v>8</v>
      </c>
      <c r="K6" s="3" t="s">
        <v>43</v>
      </c>
      <c r="L6" s="2">
        <v>5</v>
      </c>
      <c r="M6" t="s">
        <v>48</v>
      </c>
      <c r="N6" t="s">
        <v>49</v>
      </c>
      <c r="O6" s="2" t="s">
        <v>32</v>
      </c>
      <c r="P6" s="2" t="s">
        <v>50</v>
      </c>
      <c r="Q6" s="2" t="s">
        <v>51</v>
      </c>
    </row>
    <row r="7" spans="1:17" x14ac:dyDescent="0.3">
      <c r="A7">
        <v>6</v>
      </c>
      <c r="B7" s="4">
        <v>46121.583495370367</v>
      </c>
      <c r="C7" s="4">
        <v>46121.584247685183</v>
      </c>
      <c r="D7" s="5">
        <f t="shared" si="0"/>
        <v>7.5231481605442241E-4</v>
      </c>
      <c r="E7" t="s">
        <v>52</v>
      </c>
      <c r="F7" t="s">
        <v>53</v>
      </c>
      <c r="G7" s="2" t="s">
        <v>28</v>
      </c>
      <c r="H7" s="2" t="s">
        <v>18</v>
      </c>
      <c r="I7" t="s">
        <v>19</v>
      </c>
      <c r="J7" s="2">
        <v>9</v>
      </c>
      <c r="K7" s="3" t="s">
        <v>43</v>
      </c>
      <c r="L7" s="2">
        <v>4</v>
      </c>
      <c r="M7" t="s">
        <v>54</v>
      </c>
      <c r="N7" t="s">
        <v>31</v>
      </c>
      <c r="O7" s="2" t="s">
        <v>23</v>
      </c>
      <c r="P7" s="2" t="s">
        <v>24</v>
      </c>
      <c r="Q7" s="2" t="s">
        <v>25</v>
      </c>
    </row>
    <row r="8" spans="1:17" x14ac:dyDescent="0.3">
      <c r="A8">
        <v>7</v>
      </c>
      <c r="B8" s="4">
        <v>46121.582881944443</v>
      </c>
      <c r="C8" s="4">
        <v>46121.584502314814</v>
      </c>
      <c r="D8" s="5">
        <f t="shared" si="0"/>
        <v>1.6203703708015382E-3</v>
      </c>
      <c r="E8" t="s">
        <v>55</v>
      </c>
      <c r="F8" t="s">
        <v>56</v>
      </c>
      <c r="G8" s="2" t="s">
        <v>28</v>
      </c>
      <c r="H8" s="2" t="s">
        <v>18</v>
      </c>
      <c r="I8" t="s">
        <v>19</v>
      </c>
      <c r="J8" s="2">
        <v>8</v>
      </c>
      <c r="K8" s="3" t="s">
        <v>43</v>
      </c>
      <c r="L8" s="2">
        <v>4</v>
      </c>
      <c r="M8" t="s">
        <v>57</v>
      </c>
      <c r="N8" t="s">
        <v>22</v>
      </c>
      <c r="O8" s="2" t="s">
        <v>32</v>
      </c>
      <c r="P8" s="2" t="s">
        <v>58</v>
      </c>
      <c r="Q8" s="2" t="s">
        <v>34</v>
      </c>
    </row>
    <row r="9" spans="1:17" x14ac:dyDescent="0.3">
      <c r="A9">
        <v>8</v>
      </c>
      <c r="B9" s="4">
        <v>46121.584583333337</v>
      </c>
      <c r="C9" s="4">
        <v>46121.58488425926</v>
      </c>
      <c r="D9" s="5">
        <f t="shared" si="0"/>
        <v>3.0092592351138592E-4</v>
      </c>
      <c r="E9" t="s">
        <v>59</v>
      </c>
      <c r="F9" t="s">
        <v>60</v>
      </c>
      <c r="G9" s="2" t="s">
        <v>28</v>
      </c>
      <c r="H9" s="2" t="s">
        <v>18</v>
      </c>
      <c r="I9" t="s">
        <v>19</v>
      </c>
      <c r="J9" s="2">
        <v>10</v>
      </c>
      <c r="K9" s="3" t="s">
        <v>61</v>
      </c>
      <c r="L9" s="2">
        <v>4</v>
      </c>
      <c r="M9" t="s">
        <v>62</v>
      </c>
      <c r="N9" t="s">
        <v>63</v>
      </c>
      <c r="O9" s="2" t="s">
        <v>23</v>
      </c>
      <c r="P9" s="2" t="s">
        <v>24</v>
      </c>
      <c r="Q9" s="2" t="s">
        <v>51</v>
      </c>
    </row>
    <row r="10" spans="1:17" x14ac:dyDescent="0.3">
      <c r="A10">
        <v>9</v>
      </c>
      <c r="B10" s="4">
        <v>46121.685856481483</v>
      </c>
      <c r="C10" s="4">
        <v>46121.688854166663</v>
      </c>
      <c r="D10" s="5">
        <f t="shared" si="0"/>
        <v>2.9976851801620796E-3</v>
      </c>
      <c r="E10" t="s">
        <v>64</v>
      </c>
      <c r="F10" t="s">
        <v>65</v>
      </c>
      <c r="G10" s="2" t="s">
        <v>28</v>
      </c>
      <c r="H10" s="2" t="s">
        <v>18</v>
      </c>
      <c r="I10" t="s">
        <v>19</v>
      </c>
      <c r="J10" s="2">
        <v>9</v>
      </c>
      <c r="K10" s="3" t="s">
        <v>20</v>
      </c>
      <c r="L10" s="2">
        <v>4</v>
      </c>
      <c r="M10" t="s">
        <v>66</v>
      </c>
      <c r="N10" t="s">
        <v>67</v>
      </c>
      <c r="O10" s="2" t="s">
        <v>23</v>
      </c>
      <c r="P10" s="2" t="s">
        <v>33</v>
      </c>
      <c r="Q10" s="2" t="s">
        <v>25</v>
      </c>
    </row>
    <row r="11" spans="1:17" x14ac:dyDescent="0.3">
      <c r="A11">
        <v>10</v>
      </c>
      <c r="B11" s="4">
        <v>46121.69935185185</v>
      </c>
      <c r="C11" s="4">
        <v>46121.701053240744</v>
      </c>
      <c r="D11" s="5">
        <f t="shared" si="0"/>
        <v>1.7013888937071897E-3</v>
      </c>
      <c r="E11" t="s">
        <v>68</v>
      </c>
      <c r="F11" t="s">
        <v>69</v>
      </c>
      <c r="G11" s="2" t="s">
        <v>28</v>
      </c>
      <c r="H11" s="2" t="s">
        <v>18</v>
      </c>
      <c r="I11" t="s">
        <v>19</v>
      </c>
      <c r="J11" s="2">
        <v>10</v>
      </c>
      <c r="K11" s="3" t="s">
        <v>43</v>
      </c>
      <c r="L11" s="2">
        <v>5</v>
      </c>
      <c r="M11" t="s">
        <v>70</v>
      </c>
      <c r="N11" t="s">
        <v>67</v>
      </c>
      <c r="O11" s="2" t="s">
        <v>23</v>
      </c>
      <c r="P11" s="2" t="s">
        <v>33</v>
      </c>
      <c r="Q11" s="2" t="s">
        <v>34</v>
      </c>
    </row>
    <row r="12" spans="1:17" x14ac:dyDescent="0.3">
      <c r="A12">
        <v>11</v>
      </c>
      <c r="B12" s="4">
        <v>46121.715451388889</v>
      </c>
      <c r="C12" s="4">
        <v>46121.726006944446</v>
      </c>
      <c r="D12" s="5">
        <f t="shared" si="0"/>
        <v>1.0555555556493346E-2</v>
      </c>
      <c r="E12" t="s">
        <v>71</v>
      </c>
      <c r="F12" t="s">
        <v>72</v>
      </c>
      <c r="G12" s="2" t="s">
        <v>28</v>
      </c>
      <c r="H12" s="2" t="s">
        <v>18</v>
      </c>
      <c r="I12" t="s">
        <v>19</v>
      </c>
      <c r="J12" s="2">
        <v>7</v>
      </c>
      <c r="K12" s="3" t="s">
        <v>61</v>
      </c>
      <c r="L12" s="2">
        <v>4</v>
      </c>
      <c r="M12" t="s">
        <v>73</v>
      </c>
      <c r="N12" t="s">
        <v>74</v>
      </c>
      <c r="O12" s="2" t="s">
        <v>23</v>
      </c>
      <c r="P12" s="2" t="s">
        <v>33</v>
      </c>
      <c r="Q12" s="2" t="s">
        <v>25</v>
      </c>
    </row>
    <row r="13" spans="1:17" x14ac:dyDescent="0.3">
      <c r="A13">
        <v>12</v>
      </c>
      <c r="B13" s="4">
        <v>46121.739710648151</v>
      </c>
      <c r="C13" s="4">
        <v>46121.741342592592</v>
      </c>
      <c r="D13" s="5">
        <f t="shared" si="0"/>
        <v>1.631944440305233E-3</v>
      </c>
      <c r="E13" t="s">
        <v>75</v>
      </c>
      <c r="F13" t="s">
        <v>76</v>
      </c>
      <c r="G13" s="2" t="s">
        <v>17</v>
      </c>
      <c r="H13" s="2" t="s">
        <v>18</v>
      </c>
      <c r="I13" t="s">
        <v>42</v>
      </c>
      <c r="J13" s="2">
        <v>10</v>
      </c>
      <c r="K13" s="3" t="s">
        <v>43</v>
      </c>
      <c r="L13" s="2">
        <v>5</v>
      </c>
      <c r="M13" t="s">
        <v>77</v>
      </c>
      <c r="N13" t="s">
        <v>78</v>
      </c>
      <c r="O13" s="2" t="s">
        <v>23</v>
      </c>
      <c r="P13" s="2" t="s">
        <v>24</v>
      </c>
      <c r="Q13" s="2" t="s">
        <v>25</v>
      </c>
    </row>
    <row r="14" spans="1:17" x14ac:dyDescent="0.3">
      <c r="A14">
        <v>13</v>
      </c>
      <c r="B14" s="4">
        <v>46122.007303240738</v>
      </c>
      <c r="C14" s="4">
        <v>46122.009548611109</v>
      </c>
      <c r="D14" s="5">
        <f t="shared" si="0"/>
        <v>2.2453703713836148E-3</v>
      </c>
      <c r="E14" t="s">
        <v>79</v>
      </c>
      <c r="F14" t="s">
        <v>80</v>
      </c>
      <c r="G14" s="2" t="s">
        <v>28</v>
      </c>
      <c r="H14" s="2" t="s">
        <v>18</v>
      </c>
      <c r="I14" t="s">
        <v>19</v>
      </c>
      <c r="J14" s="2">
        <v>10</v>
      </c>
      <c r="K14" s="3" t="s">
        <v>43</v>
      </c>
      <c r="L14" s="2">
        <v>5</v>
      </c>
      <c r="M14" t="s">
        <v>81</v>
      </c>
      <c r="N14" t="s">
        <v>22</v>
      </c>
      <c r="O14" s="2" t="s">
        <v>32</v>
      </c>
      <c r="P14" s="2" t="s">
        <v>82</v>
      </c>
      <c r="Q14" s="2" t="s">
        <v>25</v>
      </c>
    </row>
    <row r="15" spans="1:17" x14ac:dyDescent="0.3">
      <c r="A15">
        <v>14</v>
      </c>
      <c r="B15" s="4">
        <v>46122.432511574072</v>
      </c>
      <c r="C15" s="4">
        <v>46122.433437500003</v>
      </c>
      <c r="D15" s="5">
        <f t="shared" si="0"/>
        <v>9.2592593136942014E-4</v>
      </c>
      <c r="E15" t="s">
        <v>83</v>
      </c>
      <c r="F15" t="s">
        <v>83</v>
      </c>
      <c r="G15" s="2" t="s">
        <v>17</v>
      </c>
      <c r="H15" s="2" t="s">
        <v>18</v>
      </c>
      <c r="I15" t="s">
        <v>19</v>
      </c>
      <c r="J15" s="2">
        <v>9</v>
      </c>
      <c r="K15" s="3" t="s">
        <v>20</v>
      </c>
      <c r="L15" s="2">
        <v>5</v>
      </c>
      <c r="M15" t="s">
        <v>84</v>
      </c>
      <c r="N15" t="s">
        <v>85</v>
      </c>
      <c r="O15" s="2" t="s">
        <v>32</v>
      </c>
      <c r="P15" s="2" t="s">
        <v>58</v>
      </c>
      <c r="Q15" s="2" t="s">
        <v>51</v>
      </c>
    </row>
    <row r="16" spans="1:17" x14ac:dyDescent="0.3">
      <c r="A16">
        <v>15</v>
      </c>
      <c r="B16" s="4">
        <v>46122.441944444443</v>
      </c>
      <c r="C16" s="4">
        <v>46122.442812499998</v>
      </c>
      <c r="D16" s="5">
        <f t="shared" si="0"/>
        <v>8.6805555474711582E-4</v>
      </c>
      <c r="E16" t="s">
        <v>86</v>
      </c>
      <c r="F16" t="s">
        <v>87</v>
      </c>
      <c r="G16" s="2" t="s">
        <v>28</v>
      </c>
      <c r="H16" s="2" t="s">
        <v>18</v>
      </c>
      <c r="I16" t="s">
        <v>19</v>
      </c>
      <c r="J16" s="2">
        <v>6</v>
      </c>
      <c r="K16" s="3" t="s">
        <v>61</v>
      </c>
      <c r="L16" s="2">
        <v>3</v>
      </c>
      <c r="M16" t="s">
        <v>88</v>
      </c>
      <c r="N16" t="s">
        <v>63</v>
      </c>
      <c r="O16" s="2" t="s">
        <v>23</v>
      </c>
      <c r="P16" s="2" t="s">
        <v>33</v>
      </c>
      <c r="Q16" s="2" t="s">
        <v>39</v>
      </c>
    </row>
    <row r="17" spans="1:17" x14ac:dyDescent="0.3">
      <c r="A17">
        <v>16</v>
      </c>
      <c r="B17" s="4">
        <v>46122.604351851849</v>
      </c>
      <c r="C17" s="4">
        <v>46122.611620370371</v>
      </c>
      <c r="D17" s="5">
        <f t="shared" si="0"/>
        <v>7.2685185223235749E-3</v>
      </c>
      <c r="E17" t="s">
        <v>89</v>
      </c>
      <c r="F17" t="s">
        <v>90</v>
      </c>
      <c r="G17" s="2" t="s">
        <v>91</v>
      </c>
      <c r="H17" s="2" t="s">
        <v>18</v>
      </c>
      <c r="I17" t="s">
        <v>42</v>
      </c>
      <c r="J17" s="2">
        <v>7</v>
      </c>
      <c r="K17" s="3" t="s">
        <v>20</v>
      </c>
      <c r="L17" s="2">
        <v>4</v>
      </c>
      <c r="M17" t="s">
        <v>92</v>
      </c>
      <c r="N17" t="s">
        <v>93</v>
      </c>
      <c r="O17" s="2" t="s">
        <v>23</v>
      </c>
      <c r="P17" s="2" t="s">
        <v>33</v>
      </c>
      <c r="Q17" s="2" t="s">
        <v>34</v>
      </c>
    </row>
    <row r="18" spans="1:17" x14ac:dyDescent="0.3">
      <c r="A18">
        <v>17</v>
      </c>
      <c r="B18" s="4">
        <v>46122.629629629628</v>
      </c>
      <c r="C18" s="4">
        <v>46122.630277777775</v>
      </c>
      <c r="D18" s="5">
        <f t="shared" si="0"/>
        <v>6.4814814686542377E-4</v>
      </c>
      <c r="E18" t="s">
        <v>94</v>
      </c>
      <c r="F18" t="s">
        <v>95</v>
      </c>
      <c r="G18" s="2" t="s">
        <v>17</v>
      </c>
      <c r="H18" s="2" t="s">
        <v>18</v>
      </c>
      <c r="I18" t="s">
        <v>42</v>
      </c>
      <c r="J18" s="2">
        <v>7</v>
      </c>
      <c r="K18" s="3" t="s">
        <v>61</v>
      </c>
      <c r="L18" s="2">
        <v>4</v>
      </c>
      <c r="M18" t="s">
        <v>96</v>
      </c>
      <c r="N18" t="s">
        <v>97</v>
      </c>
      <c r="O18" s="2" t="s">
        <v>23</v>
      </c>
      <c r="P18" s="2" t="s">
        <v>58</v>
      </c>
      <c r="Q18" s="2" t="s">
        <v>34</v>
      </c>
    </row>
    <row r="19" spans="1:17" ht="57.6" x14ac:dyDescent="0.3">
      <c r="A19" s="3"/>
      <c r="D19" s="5">
        <f>AVERAGE(D2:D18)</f>
        <v>2.2569444447392874E-3</v>
      </c>
      <c r="E19" s="1"/>
      <c r="F19" s="1"/>
      <c r="G19" s="6"/>
      <c r="H19" s="6"/>
      <c r="I19" s="1"/>
      <c r="J19" s="7">
        <f>AVERAGE(J2:J18)</f>
        <v>7.882352941176471</v>
      </c>
      <c r="K19" s="8" t="s">
        <v>100</v>
      </c>
      <c r="L19" s="7">
        <f>AVERAGE(L2:L18)</f>
        <v>4.117647058823529</v>
      </c>
      <c r="M19" s="1"/>
      <c r="N19" s="1"/>
      <c r="O19" s="6"/>
      <c r="P19" s="6"/>
      <c r="Q19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5DB2F-7532-4FB3-AAD9-CF15C8C1D1CE}">
  <dimension ref="A3:O7"/>
  <sheetViews>
    <sheetView tabSelected="1" workbookViewId="0">
      <selection activeCell="N6" sqref="N6"/>
    </sheetView>
  </sheetViews>
  <sheetFormatPr defaultRowHeight="14.4" x14ac:dyDescent="0.3"/>
  <cols>
    <col min="1" max="1" width="12.5546875" bestFit="1" customWidth="1"/>
    <col min="2" max="2" width="13.88671875" bestFit="1" customWidth="1"/>
    <col min="14" max="14" width="12.5546875" bestFit="1" customWidth="1"/>
    <col min="15" max="15" width="13.88671875" bestFit="1" customWidth="1"/>
    <col min="16" max="16" width="9.109375" bestFit="1" customWidth="1"/>
    <col min="17" max="18" width="2" bestFit="1" customWidth="1"/>
    <col min="19" max="19" width="10.77734375" bestFit="1" customWidth="1"/>
    <col min="20" max="20" width="17.33203125" bestFit="1" customWidth="1"/>
    <col min="21" max="21" width="15.88671875" bestFit="1" customWidth="1"/>
    <col min="22" max="22" width="18" bestFit="1" customWidth="1"/>
    <col min="23" max="23" width="13.44140625" bestFit="1" customWidth="1"/>
    <col min="24" max="24" width="10.6640625" bestFit="1" customWidth="1"/>
    <col min="25" max="25" width="10.77734375" bestFit="1" customWidth="1"/>
    <col min="26" max="26" width="13.5546875" bestFit="1" customWidth="1"/>
    <col min="27" max="27" width="30.5546875" bestFit="1" customWidth="1"/>
    <col min="28" max="28" width="15.33203125" bestFit="1" customWidth="1"/>
    <col min="29" max="29" width="12.21875" bestFit="1" customWidth="1"/>
    <col min="30" max="30" width="10.21875" bestFit="1" customWidth="1"/>
    <col min="31" max="31" width="16.5546875" bestFit="1" customWidth="1"/>
    <col min="32" max="32" width="10.77734375" bestFit="1" customWidth="1"/>
  </cols>
  <sheetData>
    <row r="3" spans="1:15" x14ac:dyDescent="0.3">
      <c r="A3" s="9" t="s">
        <v>101</v>
      </c>
      <c r="B3" t="s">
        <v>103</v>
      </c>
    </row>
    <row r="4" spans="1:15" x14ac:dyDescent="0.3">
      <c r="A4" s="10" t="s">
        <v>17</v>
      </c>
      <c r="B4" s="3">
        <v>5</v>
      </c>
      <c r="N4" s="9" t="s">
        <v>101</v>
      </c>
      <c r="O4" t="s">
        <v>103</v>
      </c>
    </row>
    <row r="5" spans="1:15" x14ac:dyDescent="0.3">
      <c r="A5" s="10" t="s">
        <v>28</v>
      </c>
      <c r="B5" s="3">
        <v>11</v>
      </c>
      <c r="N5" s="10" t="s">
        <v>19</v>
      </c>
      <c r="O5" s="3">
        <v>13</v>
      </c>
    </row>
    <row r="6" spans="1:15" x14ac:dyDescent="0.3">
      <c r="A6" s="10" t="s">
        <v>91</v>
      </c>
      <c r="B6" s="3">
        <v>1</v>
      </c>
      <c r="N6" s="10" t="s">
        <v>42</v>
      </c>
      <c r="O6" s="3">
        <v>4</v>
      </c>
    </row>
    <row r="7" spans="1:15" x14ac:dyDescent="0.3">
      <c r="A7" s="10" t="s">
        <v>102</v>
      </c>
      <c r="B7" s="3">
        <v>17</v>
      </c>
      <c r="N7" s="10" t="s">
        <v>102</v>
      </c>
      <c r="O7" s="3">
        <v>17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 Data</vt:lpstr>
      <vt:lpstr>Pivot Table_Chart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jessica navarroservin</cp:lastModifiedBy>
  <dcterms:created xsi:type="dcterms:W3CDTF">2026-04-12T19:18:06Z</dcterms:created>
  <dcterms:modified xsi:type="dcterms:W3CDTF">2026-04-12T20:31:26Z</dcterms:modified>
</cp:coreProperties>
</file>
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1\"/>
    </mc:Choice>
  </mc:AlternateContent>
  <xr:revisionPtr revIDLastSave="0" documentId="13_ncr:1_{CC786747-348B-41A6-8BF4-E5583A21D48A}" xr6:coauthVersionLast="47" xr6:coauthVersionMax="47" xr10:uidLastSave="{00000000-0000-0000-0000-000000000000}"/>
  <bookViews>
    <workbookView xWindow="-108" yWindow="-108" windowWidth="23256" windowHeight="13896" activeTab="2" xr2:uid="{850B75FB-B2A0-4FCF-BDC5-F5B02DE5A9E5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<sst xmlns="http://schemas.openxmlformats.org/spreadsheetml/2006/main" count="154" uniqueCount="70">
  <si>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</si>
  <si>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</si>
  <si>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</si>
  <si>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</si>
  <si>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</si>
  <si>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</si>
  <si>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</si>
  <si>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</si>
  <si>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</si>
  <si>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</si>
  <si>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</si>
  <si>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</si>
  <si>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</si>
  <si>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</si>
  <si>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</si>
  <si>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</si>
  <si>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</si>
  <si>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</si>
  <si>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</si>
  <si>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</si>
  <si>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</si>
  <si>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</si>
  <si>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</si>
  <si>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</si>
  <si>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</si>
  <si>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</si>
  <si>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</si>
  <si>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</si>
  <si>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</si>
  <si>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</si>
  <si>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</si>
  <si>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</si>
  <si>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</si>
  <si>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</si>
  <si>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</si>
  <si>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</si>
  <si>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</si>
  <si>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</si>
  <si>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</si>
  <si>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</si>
  <si>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</si>
  <si>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</si>
  <si>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</si>
  <si>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</si>
  <si>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</si>
  <si>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</si>
  <si>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</si>
  <si>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</si>
  <si>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</si>
  <si>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</si>
  <si>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</si>
  <si>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</si>
  <si>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</si>
  <si>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 ID</t>
  </si>
  <si>
    <t>Date Range</t>
  </si>
  <si>
    <t>2/1/24 - 2/28/25</t>
  </si>
  <si>
    <t>Hamburger</t>
  </si>
  <si>
    <t>Milkshake</t>
  </si>
  <si>
    <t>Breakup</t>
  </si>
  <si>
    <t>STATE</t>
  </si>
  <si>
    <t>North West</t>
  </si>
  <si>
    <t>North Cental</t>
  </si>
  <si>
    <t>HAMBURGER</t>
  </si>
  <si>
    <t>MILKSHAKE</t>
  </si>
  <si>
    <t>Sales Region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</si>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</sst>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0" fontId="18" fillId="34" borderId="0" xfId="0" applyFont="1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0.7</c:v>
                </c:pt>
                <c:pt idx="5">
                  <c:v>0.69</c:v>
                </c:pt>
                <c:pt idx="6">
                  <c:v>0.7</c:v>
                </c:pt>
                <c:pt idx="7">
                  <c:v>0.76</c:v>
                </c:pt>
                <c:pt idx="8">
                  <c:v>0.66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8-4BC2-80E9-FD918BE4F549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8-4BC2-80E9-FD918BE4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201807"/>
        <c:axId val="1438198447"/>
      </c:barChart>
      <c:catAx>
        <c:axId val="143820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98447"/>
        <c:crosses val="autoZero"/>
        <c:auto val="1"/>
        <c:lblAlgn val="ctr"/>
        <c:lblOffset val="100"/>
        <c:noMultiLvlLbl val="0"/>
      </c:catAx>
      <c:valAx>
        <c:axId val="14381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0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171450</xdr:rowOff>
    </xdr:from>
    <xdr:to>
      <xdr:col>12</xdr:col>
      <xdr:colOff>289560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18FEF-85E9-6D0E-05B4-D1091E748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ca navarroservin" refreshedDate="46122.604409953703" createdVersion="8" refreshedVersion="8" minRefreshableVersion="3" recordCount="10" xr:uid="{5363AAB7-1704-4967-A97C-0B866540087A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 West"/>
        <s v="North Cent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6"/>
    <n v="0.19"/>
  </r>
  <r>
    <x v="1"/>
    <x v="0"/>
    <n v="0.7"/>
    <n v="0.17"/>
  </r>
  <r>
    <x v="2"/>
    <x v="0"/>
    <n v="0.69"/>
    <n v="0.18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7"/>
    <n v="0.18"/>
  </r>
  <r>
    <x v="7"/>
    <x v="1"/>
    <n v="0.68"/>
    <n v="0.19"/>
  </r>
  <r>
    <x v="8"/>
    <x v="1"/>
    <n v="0.67"/>
    <n v="0.19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DABD1-D68C-4A2A-9E4C-A0A36209939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56D8-C676-485B-9681-7C4CACEA1928}">
  <dimension ref="A1:K52"/>
  <sheetViews>
    <sheetView workbookViewId="0">
      <pane ySplit="1" topLeftCell="A2" activePane="bottomLeft" state="frozen"/>
      <selection pane="bottomLeft" activeCell="E52" sqref="B1:E52"/>
    </sheetView>
  </sheetViews>
  <sheetFormatPr defaultRowHeight="14.4" x14ac:dyDescent="0.3"/>
  <cols>
    <col min="1" max="1" width="10.44140625" customWidth="1"/>
    <col min="2" max="2" width="23.77734375" customWidth="1"/>
    <col min="3" max="3" width="12.33203125" bestFit="1" customWidth="1"/>
    <col min="4" max="4" width="11.21875" bestFit="1" customWidth="1"/>
    <col min="5" max="5" width="9.88671875" bestFit="1" customWidth="1"/>
    <col min="7" max="7" width="13.6640625" customWidth="1"/>
    <col min="10" max="10" width="10.109375" bestFit="1" customWidth="1"/>
    <col min="11" max="11" width="16.88671875" bestFit="1" customWidth="1"/>
  </cols>
  <sheetData>
    <row r="1" spans="1:11" ht="15.6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5" t="s">
        <v>55</v>
      </c>
    </row>
    <row r="2" spans="1:11" x14ac:dyDescent="0.3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D39156D8-C676-485B-9681-7C4CACEA19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0F70-E523-4A2F-B8B8-0BC2BCCE701E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:T1048576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CBE1-CEEF-4769-B517-380CC32142C1}">
  <dimension ref="A1:D26"/>
  <sheetViews>
    <sheetView tabSelected="1" workbookViewId="0">
      <selection activeCell="N14" sqref="N14"/>
    </sheetView>
  </sheetViews>
  <sheetFormatPr defaultRowHeight="14.4" x14ac:dyDescent="0.3"/>
  <cols>
    <col min="1" max="1" width="12.44140625" bestFit="1" customWidth="1"/>
    <col min="2" max="2" width="18" bestFit="1" customWidth="1"/>
    <col min="3" max="3" width="16.77734375" bestFit="1" customWidth="1"/>
    <col min="4" max="4" width="10.21875" bestFit="1" customWidth="1"/>
  </cols>
  <sheetData>
    <row r="1" spans="1:4" x14ac:dyDescent="0.3">
      <c r="A1" t="s">
        <v>59</v>
      </c>
      <c r="B1" t="s">
        <v>64</v>
      </c>
      <c r="C1" t="s">
        <v>62</v>
      </c>
      <c r="D1" t="s">
        <v>63</v>
      </c>
    </row>
    <row r="2" spans="1:4" x14ac:dyDescent="0.3">
      <c r="A2" t="s">
        <v>41</v>
      </c>
      <c r="B2" t="s">
        <v>60</v>
      </c>
      <c r="C2" s="6">
        <f>VLOOKUP('sales region lookup'!A2, 'by search term'!B:C, 2, FALSE)</f>
        <v>0.66</v>
      </c>
      <c r="D2" s="6">
        <f>_xlfn.XLOOKUP(A2, 'by search term'!B1:B52, 'by search term'!D1:D52, "not found")</f>
        <v>0.19</v>
      </c>
    </row>
    <row r="3" spans="1:4" x14ac:dyDescent="0.3">
      <c r="A3" t="s">
        <v>38</v>
      </c>
      <c r="B3" t="s">
        <v>60</v>
      </c>
      <c r="C3" s="6">
        <f>VLOOKUP('sales region lookup'!A3, 'by search term'!B:C, 2, FALSE)</f>
        <v>0.7</v>
      </c>
      <c r="D3" s="6">
        <f>_xlfn.XLOOKUP(A3, 'by search term'!B2:B53, 'by search term'!D2:D53, "not found")</f>
        <v>0.17</v>
      </c>
    </row>
    <row r="4" spans="1:4" x14ac:dyDescent="0.3">
      <c r="A4" t="s">
        <v>25</v>
      </c>
      <c r="B4" t="s">
        <v>60</v>
      </c>
      <c r="C4" s="6">
        <f>VLOOKUP('sales region lookup'!A4, 'by search term'!B:C, 2, FALSE)</f>
        <v>0.69</v>
      </c>
      <c r="D4" s="6">
        <f>_xlfn.XLOOKUP(A4, 'by search term'!B3:B54, 'by search term'!D3:D54, "not found")</f>
        <v>0.18</v>
      </c>
    </row>
    <row r="5" spans="1:4" x14ac:dyDescent="0.3">
      <c r="A5" t="s">
        <v>50</v>
      </c>
      <c r="B5" t="s">
        <v>60</v>
      </c>
      <c r="C5" s="6">
        <f>VLOOKUP('sales region lookup'!A5, 'by search term'!B:C, 2, FALSE)</f>
        <v>0.74</v>
      </c>
      <c r="D5" s="6">
        <f>_xlfn.XLOOKUP(A5, 'by search term'!B4:B55, 'by search term'!D4:D55, "not found")</f>
        <v>0.14000000000000001</v>
      </c>
    </row>
    <row r="6" spans="1:4" x14ac:dyDescent="0.3">
      <c r="A6" t="s">
        <v>33</v>
      </c>
      <c r="B6" t="s">
        <v>61</v>
      </c>
      <c r="C6" s="6">
        <f>VLOOKUP('sales region lookup'!A6, 'by search term'!B:C, 2, FALSE)</f>
        <v>0.69</v>
      </c>
      <c r="D6" s="6">
        <f>_xlfn.XLOOKUP(A6, 'by search term'!B5:B56, 'by search term'!D5:D56, "not found")</f>
        <v>0.19</v>
      </c>
    </row>
    <row r="7" spans="1:4" x14ac:dyDescent="0.3">
      <c r="A7" t="s">
        <v>44</v>
      </c>
      <c r="B7" t="s">
        <v>61</v>
      </c>
      <c r="C7" s="6">
        <f>VLOOKUP('sales region lookup'!A7, 'by search term'!B:C, 2, FALSE)</f>
        <v>0.76</v>
      </c>
      <c r="D7" s="6">
        <f>_xlfn.XLOOKUP(A7, 'by search term'!B6:B57, 'by search term'!D6:D57, "not found")</f>
        <v>0.14000000000000001</v>
      </c>
    </row>
    <row r="8" spans="1:4" x14ac:dyDescent="0.3">
      <c r="A8" t="s">
        <v>39</v>
      </c>
      <c r="B8" t="s">
        <v>61</v>
      </c>
      <c r="C8" s="6">
        <f>VLOOKUP('sales region lookup'!A8, 'by search term'!B:C, 2, FALSE)</f>
        <v>0.7</v>
      </c>
      <c r="D8" s="6">
        <f>_xlfn.XLOOKUP(A8, 'by search term'!B7:B58, 'by search term'!D7:D58, "not found")</f>
        <v>0.18</v>
      </c>
    </row>
    <row r="9" spans="1:4" x14ac:dyDescent="0.3">
      <c r="A9" t="s">
        <v>34</v>
      </c>
      <c r="B9" t="s">
        <v>61</v>
      </c>
      <c r="C9" s="6">
        <f>VLOOKUP('sales region lookup'!A9, 'by search term'!B:C, 2, FALSE)</f>
        <v>0.68</v>
      </c>
      <c r="D9" s="6">
        <f>_xlfn.XLOOKUP(A9, 'by search term'!B8:B59, 'by search term'!D8:D59, "not found")</f>
        <v>0.19</v>
      </c>
    </row>
    <row r="10" spans="1:4" x14ac:dyDescent="0.3">
      <c r="A10" t="s">
        <v>32</v>
      </c>
      <c r="B10" t="s">
        <v>61</v>
      </c>
      <c r="C10" s="6">
        <f>VLOOKUP('sales region lookup'!A10, 'by search term'!B:C, 2, FALSE)</f>
        <v>0.67</v>
      </c>
      <c r="D10" s="6">
        <f>_xlfn.XLOOKUP(A10, 'by search term'!B9:B60, 'by search term'!D9:D60, "not found")</f>
        <v>0.19</v>
      </c>
    </row>
    <row r="11" spans="1:4" x14ac:dyDescent="0.3">
      <c r="A11" t="s">
        <v>29</v>
      </c>
      <c r="B11" t="s">
        <v>61</v>
      </c>
      <c r="C11" s="6">
        <f>VLOOKUP('sales region lookup'!A11, 'by search term'!B:C, 2, FALSE)</f>
        <v>0.67</v>
      </c>
      <c r="D11" s="6">
        <f>_xlfn.XLOOKUP(A11, 'by search term'!B10:B61, 'by search term'!D10:D61, "not found")</f>
        <v>0.2</v>
      </c>
    </row>
    <row r="13" spans="1:4" x14ac:dyDescent="0.3">
      <c r="A13" s="7" t="s">
        <v>64</v>
      </c>
      <c r="B13" t="s">
        <v>69</v>
      </c>
    </row>
    <row r="15" spans="1:4" x14ac:dyDescent="0.3">
      <c r="A15" s="7" t="s">
        <v>65</v>
      </c>
      <c r="B15" t="s">
        <v>67</v>
      </c>
      <c r="C15" t="s">
        <v>68</v>
      </c>
    </row>
    <row r="16" spans="1:4" x14ac:dyDescent="0.3">
      <c r="A16" s="8" t="s">
        <v>25</v>
      </c>
      <c r="B16" s="1">
        <v>0.69</v>
      </c>
      <c r="C16" s="1">
        <v>0.18</v>
      </c>
    </row>
    <row r="17" spans="1:3" x14ac:dyDescent="0.3">
      <c r="A17" s="8" t="s">
        <v>29</v>
      </c>
      <c r="B17" s="1">
        <v>0.67</v>
      </c>
      <c r="C17" s="1">
        <v>0.2</v>
      </c>
    </row>
    <row r="18" spans="1:3" x14ac:dyDescent="0.3">
      <c r="A18" s="8" t="s">
        <v>34</v>
      </c>
      <c r="B18" s="1">
        <v>0.68</v>
      </c>
      <c r="C18" s="1">
        <v>0.19</v>
      </c>
    </row>
    <row r="19" spans="1:3" x14ac:dyDescent="0.3">
      <c r="A19" s="8" t="s">
        <v>50</v>
      </c>
      <c r="B19" s="1">
        <v>0.74</v>
      </c>
      <c r="C19" s="1">
        <v>0.14000000000000001</v>
      </c>
    </row>
    <row r="20" spans="1:3" x14ac:dyDescent="0.3">
      <c r="A20" s="8" t="s">
        <v>39</v>
      </c>
      <c r="B20" s="1">
        <v>0.7</v>
      </c>
      <c r="C20" s="1">
        <v>0.18</v>
      </c>
    </row>
    <row r="21" spans="1:3" x14ac:dyDescent="0.3">
      <c r="A21" s="8" t="s">
        <v>33</v>
      </c>
      <c r="B21" s="1">
        <v>0.69</v>
      </c>
      <c r="C21" s="1">
        <v>0.19</v>
      </c>
    </row>
    <row r="22" spans="1:3" x14ac:dyDescent="0.3">
      <c r="A22" s="8" t="s">
        <v>38</v>
      </c>
      <c r="B22" s="1">
        <v>0.7</v>
      </c>
      <c r="C22" s="1">
        <v>0.17</v>
      </c>
    </row>
    <row r="23" spans="1:3" x14ac:dyDescent="0.3">
      <c r="A23" s="8" t="s">
        <v>44</v>
      </c>
      <c r="B23" s="1">
        <v>0.76</v>
      </c>
      <c r="C23" s="1">
        <v>0.14000000000000001</v>
      </c>
    </row>
    <row r="24" spans="1:3" x14ac:dyDescent="0.3">
      <c r="A24" s="8" t="s">
        <v>41</v>
      </c>
      <c r="B24" s="1">
        <v>0.66</v>
      </c>
      <c r="C24" s="1">
        <v>0.19</v>
      </c>
    </row>
    <row r="25" spans="1:3" x14ac:dyDescent="0.3">
      <c r="A25" s="8" t="s">
        <v>32</v>
      </c>
      <c r="B25" s="1">
        <v>0.67</v>
      </c>
      <c r="C25" s="1">
        <v>0.19</v>
      </c>
    </row>
    <row r="26" spans="1:3" x14ac:dyDescent="0.3">
      <c r="A26" s="8" t="s">
        <v>66</v>
      </c>
      <c r="B26" s="1">
        <v>6.96</v>
      </c>
      <c r="C26" s="1">
        <v>1.77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navarroservin</cp:lastModifiedBy>
  <dcterms:created xsi:type="dcterms:W3CDTF">2026-04-10T02:06:16Z</dcterms:created>
  <dcterms:modified xsi:type="dcterms:W3CDTF">2026-04-10T19:36:35Z</dcterms:modified>
</cp:coreProperties>
</file>
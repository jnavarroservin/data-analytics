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2\"/>
    </mc:Choice>
  </mc:AlternateContent>
  <xr:revisionPtr revIDLastSave="0" documentId="13_ncr:1_{F40A0FF2-A845-468C-857F-0B63E8536746}" xr6:coauthVersionLast="47" xr6:coauthVersionMax="47" xr10:uidLastSave="{00000000-0000-0000-0000-000000000000}"/>
  <bookViews>
    <workbookView xWindow="33645" yWindow="6390" windowWidth="14340" windowHeight="9675" activeTab="1" xr2:uid="{5091876E-AF08-41C4-B976-D2AB9D8B455C}"/>
  </bookViews>
  <sheets>
    <sheet name="events_sample" sheetId="1" r:id="rId1"/>
    <sheet name="COPILOT_VERSION" sheetId="2" r:id="rId2"/>
  </sheets>
  <definedNames>
    <definedName name="_xlnm._FilterDatabase" localSheetId="0" hidden="1">events_sample!$B$44:$B$50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2" l="1"/>
  <c r="D62" i="2"/>
  <c r="D63" i="2"/>
  <c r="D64" i="2"/>
  <c r="D65" i="2"/>
  <c r="C57" i="2" a="1"/>
  <c r="C57" i="2" s="1"/>
  <c r="N19" i="2" a="1"/>
  <c r="N19" i="2" s="1"/>
  <c r="M19" i="2" a="1"/>
  <c r="M19" i="2" s="1"/>
  <c r="L27" i="2"/>
  <c r="L26" i="2"/>
  <c r="L25" i="2"/>
  <c r="L24" i="2"/>
  <c r="L23" i="2"/>
  <c r="L22" i="2"/>
  <c r="L21" i="2"/>
  <c r="L20" i="2"/>
  <c r="K19" i="2" a="1"/>
  <c r="K19" i="2" s="1"/>
  <c r="F65" i="2"/>
  <c r="A65" i="2"/>
  <c r="F64" i="2"/>
  <c r="A64" i="2"/>
  <c r="F63" i="2"/>
  <c r="A63" i="2"/>
  <c r="F62" i="2"/>
  <c r="A62" i="2"/>
  <c r="F61" i="2"/>
  <c r="A61" i="2"/>
  <c r="F60" i="2"/>
  <c r="F59" i="2"/>
  <c r="F58" i="2"/>
  <c r="A58" i="2"/>
  <c r="F57" i="2"/>
  <c r="A57" i="2"/>
  <c r="B44" i="2" a="1"/>
  <c r="B44" i="2" s="1"/>
  <c r="B32" i="2" a="1"/>
  <c r="B32" i="2" s="1"/>
  <c r="B18" i="2" a="1"/>
  <c r="B18" i="2" s="1"/>
  <c r="F65" i="1"/>
  <c r="F64" i="1"/>
  <c r="F63" i="1"/>
  <c r="F62" i="1"/>
  <c r="F61" i="1"/>
  <c r="F60" i="1"/>
  <c r="F59" i="1"/>
  <c r="F58" i="1"/>
  <c r="F57" i="1"/>
  <c r="D65" i="1"/>
  <c r="D64" i="1"/>
  <c r="D63" i="1"/>
  <c r="D62" i="1"/>
  <c r="D61" i="1"/>
  <c r="D58" i="1"/>
  <c r="D57" i="1"/>
  <c r="C57" i="1"/>
  <c r="C65" i="1"/>
  <c r="C64" i="1"/>
  <c r="C63" i="1"/>
  <c r="C62" i="1"/>
  <c r="B57" i="1" a="1"/>
  <c r="B57" i="1" s="1"/>
  <c r="B44" i="1" a="1"/>
  <c r="B44" i="1" s="1"/>
  <c r="B32" i="1" a="1"/>
  <c r="B32" i="1" s="1"/>
  <c r="B18" i="1" a="1"/>
  <c r="B1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<sst xmlns="http://schemas.openxmlformats.org/spreadsheetml/2006/main" count="464" uniqueCount="163">
  <si>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</si>
  <si>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</si>
  <si>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</si>
  <si>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</si>
  <si>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</si>
  <si>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</si>
  <si>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</si>
  <si>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</si>
  <si>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</si>
  <si>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</si>
  <si>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</si>
  <si>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</si>
  <si>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</si>
  <si>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</si>
  <si>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</si>
  <si>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</si>
  <si>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</si>
  <si>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</si>
  <si>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</si>
  <si>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</si>
  <si>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</si>
  <si>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</si>
  <si>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</si>
  <si>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</si>
  <si>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</si>
  <si>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</si>
  <si>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</si>
  <si>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</si>
  <si>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</si>
  <si>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</si>
  <si>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</si>
  <si>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</si>
  <si>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</si>
  <si>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</si>
  <si>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</si>
  <si>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</si>
  <si>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</si>
  <si>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</si>
  <si>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</si>
  <si>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</si>
  <si>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</si>
  <si>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</si>
  <si>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</si>
  <si>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</si>
  <si>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</si>
  <si>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</si>
  <si>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</si>
  <si>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</si>
  <si>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</si>
  <si>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</si>
  <si>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</si>
  <si>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</si>
  <si>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</si>
  <si>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</si>
  <si>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</si>
  <si>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</si>
  <si>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</si>
  <si>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</si>
  <si>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</si>
  <si>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</si>
  <si>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</si>
  <si>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</si>
  <si>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</si>
  <si>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</si>
  <si>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</si>
  <si>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</si>
  <si>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</si>
  <si>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</si>
  <si>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</si>
  <si>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</si>
  <si>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</si>
  <si>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</si>
  <si>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</si>
  <si>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</si>
  <si>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</si>
  <si>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</si>
  <si>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</si>
  <si>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</si>
  <si>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</si>
  <si>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</si>
  <si>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</si>
  <si>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</si>
  <si>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</si>
  <si>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</si>
  <si>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</si>
  <si>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</si>
  <si>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</si>
  <si>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</si>
  <si>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</si>
  <si>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</si>
  <si>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</si>
  <si>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</si>
  <si>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</si>
  <si>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</si>
  <si>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</si>
  <si>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</si>
  <si>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</si>
  <si>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</si>
  <si>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</si>
  <si>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</si>
  <si>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</si>
  <si>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</si>
  <si>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</si>
  <si>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</si>
  <si>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</si>
  <si>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</si>
  <si>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</si>
  <si>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</si>
  <si>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</si>
  <si>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</si>
  <si>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</si>
  <si>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</si>
  <si>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</si>
  <si>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</si>
  <si>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</si>
  <si>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</si>
  <si>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</si>
  <si>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</si>
  <si>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</si>
  <si>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</si>
  <si>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</si>
  <si>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</si>
  <si>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</si>
  <si>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</si>
  <si>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</si>
  <si>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</si>
  <si>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Location Zip Code</t>
  </si>
  <si>
    <t>Los Angeles</t>
  </si>
  <si>
    <t>Austin</t>
  </si>
  <si>
    <t>West Hollywood</t>
  </si>
  <si>
    <t>Chicago</t>
  </si>
  <si>
    <t>New York</t>
  </si>
  <si>
    <t>Portland</t>
  </si>
  <si>
    <t>Detroit</t>
  </si>
  <si>
    <t>Miami</t>
  </si>
  <si>
    <t>Manager Email</t>
  </si>
  <si>
    <t>CA</t>
  </si>
  <si>
    <t>TX</t>
  </si>
  <si>
    <t>IL</t>
  </si>
  <si>
    <t>NY</t>
  </si>
  <si>
    <t>FL</t>
  </si>
  <si>
    <t>MI</t>
  </si>
  <si>
    <t>OR</t>
  </si>
  <si>
    <t>Locations</t>
  </si>
  <si>
    <t>Manager Information</t>
  </si>
  <si>
    <t>Event Code Identifier</t>
  </si>
  <si>
    <t>Venue Contact</t>
  </si>
  <si>
    <t>Venue Information</t>
  </si>
  <si>
    <t>Manager Information*</t>
  </si>
  <si>
    <t>Event Code Identifier*</t>
  </si>
  <si>
    <t>Location Zip (PK)</t>
  </si>
  <si>
    <t>Venue ID (PK)</t>
  </si>
  <si>
    <t>5th table (suggested by copilot)</t>
  </si>
  <si>
    <t>Venues</t>
  </si>
  <si>
    <t>Venue Name</t>
  </si>
  <si>
    <t>Location Zip (FK)</t>
  </si>
  <si>
    <t>Event ID (PK)</t>
  </si>
  <si>
    <t>Employee # (PK)</t>
  </si>
  <si>
    <t>Category Code (PK)</t>
  </si>
  <si>
    <t>Venue Contact Name (pk)</t>
  </si>
  <si>
    <t>Locations*</t>
  </si>
  <si>
    <t xml:space="preserve">Venue ID 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</si>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</sst>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42"/>
    <xf numFmtId="0" fontId="0" fillId="34" borderId="0" xfId="0" applyFill="1"/>
    <xf numFmtId="0" fontId="0" fillId="34" borderId="0" xfId="0" applyFill="1" applyAlignment="1">
      <alignment horizontal="left"/>
    </xf>
    <xf numFmtId="0" fontId="0" fillId="34" borderId="11" xfId="0" applyFill="1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/>
    <xf numFmtId="0" fontId="0" fillId="33" borderId="0" xfId="0" applyFill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/>
    <xf numFmtId="0" fontId="0" fillId="0" borderId="0" xfId="0" applyAlignment="1">
      <alignment horizontal="left"/>
    </xf>
    <xf numFmtId="0" fontId="0" fillId="34" borderId="11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16" fillId="0" borderId="0" xfId="0" applyFont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0" fillId="0" borderId="11" xfId="0" applyFill="1" applyBorder="1"/>
    <xf numFmtId="0" fontId="0" fillId="0" borderId="0" xfId="0" applyFill="1"/>
    <xf numFmtId="0" fontId="0" fillId="0" borderId="0" xfId="0" applyFill="1"/>
    <xf numFmtId="0" fontId="0" fillId="0" borderId="11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1091565</xdr:colOff>
      <xdr:row>65</xdr:row>
      <xdr:rowOff>172402</xdr:rowOff>
    </xdr:from>
    <xdr:to>
      <xdr:col>9</xdr:col>
      <xdr:colOff>95250</xdr:colOff>
      <xdr:row>70</xdr:row>
      <xdr:rowOff>178117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CA056A-E1A3-620A-535E-C97EC8CA385B}"/>
            </a:ext>
          </a:extLst>
        </xdr:cNvPr>
        <xdr:cNvSpPr txBox="1"/>
      </xdr:nvSpPr>
      <xdr:spPr>
        <a:xfrm>
          <a:off x="1091565" y="11954827"/>
          <a:ext cx="7604760" cy="910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4</a:t>
          </a:r>
          <a:br>
            <a:rPr lang="en-US" sz="1100"/>
          </a:br>
          <a:r>
            <a:rPr lang="en-US" sz="1100"/>
            <a:t>MODIFIED</a:t>
          </a:r>
          <a:r>
            <a:rPr lang="en-US" sz="1100" baseline="0"/>
            <a:t> PER COPILOT'S SUGGESTION: I need to ask  why Venue Id doesnt qualify as a PK for table 4. Email is a unique identifier that signals a venue email is set and wont change, so all the other columns depend on the email. Also, one venue can have more than 1 email meaning it'll repeat and cancel it as a PK</a:t>
          </a:r>
          <a:endParaRPr lang="en-US" sz="1100"/>
        </a:p>
      </xdr:txBody>
    </xdr:sp>
    <xdr:clientData/>
  </xdr:twoCellAnchor>
  <xdr:twoCellAnchor>
    <xdr:from>
      <xdr:col>10</xdr:col>
      <xdr:colOff>342900</xdr:colOff>
      <xdr:row>28</xdr:row>
      <xdr:rowOff>123825</xdr:rowOff>
    </xdr:from>
    <xdr:to>
      <xdr:col>13</xdr:col>
      <xdr:colOff>942975</xdr:colOff>
      <xdr:row>35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FCEB86-B658-634C-C8F4-40BE2723E072}"/>
            </a:ext>
          </a:extLst>
        </xdr:cNvPr>
        <xdr:cNvSpPr txBox="1"/>
      </xdr:nvSpPr>
      <xdr:spPr>
        <a:xfrm>
          <a:off x="9944100" y="5210175"/>
          <a:ext cx="422910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5</a:t>
          </a:r>
          <a:br>
            <a:rPr lang="en-US" sz="1100"/>
          </a:br>
          <a:r>
            <a:rPr lang="en-US" sz="1100"/>
            <a:t>Venue ID is a unique identifier like in social</a:t>
          </a:r>
          <a:r>
            <a:rPr lang="en-US" sz="1100" baseline="0"/>
            <a:t> media where eachindividual's username is one of a kind(not repeats).  The venue name and location can change/relocate, which also impacts the address column. However, the only variable not affected would be the Venue ID</a:t>
          </a:r>
          <a:endParaRPr lang="en-US" sz="1100"/>
        </a:p>
      </xdr:txBody>
    </xdr:sp>
    <xdr:clientData/>
  </xdr:twoCellAnchor>
  <xdr:twoCellAnchor>
    <xdr:from>
      <xdr:col>3</xdr:col>
      <xdr:colOff>421005</xdr:colOff>
      <xdr:row>40</xdr:row>
      <xdr:rowOff>78105</xdr:rowOff>
    </xdr:from>
    <xdr:to>
      <xdr:col>7</xdr:col>
      <xdr:colOff>567690</xdr:colOff>
      <xdr:row>51</xdr:row>
      <xdr:rowOff>17145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64F4F9-EB3C-419B-F11F-C76984320717}"/>
            </a:ext>
          </a:extLst>
        </xdr:cNvPr>
        <xdr:cNvSpPr txBox="1"/>
      </xdr:nvSpPr>
      <xdr:spPr>
        <a:xfrm>
          <a:off x="3935730" y="7336155"/>
          <a:ext cx="3594735" cy="1929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1-3</a:t>
          </a:r>
          <a:br>
            <a:rPr lang="en-US" sz="1100"/>
          </a:br>
          <a:r>
            <a:rPr lang="en-US" sz="1100"/>
            <a:t>Copilot confirmed</a:t>
          </a:r>
          <a:r>
            <a:rPr lang="en-US" sz="1100" baseline="0"/>
            <a:t> the tables PK and FK were correct.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.chen@eventdoodle.com" TargetMode="External"/><Relationship Id="rId2" Type="http://schemas.openxmlformats.org/officeDocument/2006/relationships/hyperlink" Target="mailto:larry.song@eventdoodle.com" TargetMode="External"/><Relationship Id="rId1" Type="http://schemas.openxmlformats.org/officeDocument/2006/relationships/hyperlink" Target="mailto:sarah.mitchell@eventdoodle.com" TargetMode="External"/><Relationship Id="rId6" Type="http://schemas.openxmlformats.org/officeDocument/2006/relationships/hyperlink" Target="mailto:jennifer.wu@eventdoodle.com" TargetMode="External"/><Relationship Id="rId5" Type="http://schemas.openxmlformats.org/officeDocument/2006/relationships/hyperlink" Target="mailto:david.park@eventdoodle.com" TargetMode="External"/><Relationship Id="rId4" Type="http://schemas.openxmlformats.org/officeDocument/2006/relationships/hyperlink" Target="mailto:elena.rodriguez@eventdood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ke.chen@eventdoodle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larry.song@eventdoodle.com" TargetMode="External"/><Relationship Id="rId1" Type="http://schemas.openxmlformats.org/officeDocument/2006/relationships/hyperlink" Target="mailto:sarah.mitchell@eventdoodle.com" TargetMode="External"/><Relationship Id="rId6" Type="http://schemas.openxmlformats.org/officeDocument/2006/relationships/hyperlink" Target="mailto:jennifer.wu@eventdoodle.com" TargetMode="External"/><Relationship Id="rId5" Type="http://schemas.openxmlformats.org/officeDocument/2006/relationships/hyperlink" Target="mailto:david.park@eventdoodle.com" TargetMode="External"/><Relationship Id="rId4" Type="http://schemas.openxmlformats.org/officeDocument/2006/relationships/hyperlink" Target="mailto:elena.rodriguez@eventdood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4"/>
  <sheetViews>
    <sheetView zoomScale="101" workbookViewId="0">
      <selection activeCell="F65" sqref="B56:G65"/>
    </sheetView>
  </sheetViews>
  <sheetFormatPr defaultRowHeight="14.4" x14ac:dyDescent="0.3"/>
  <cols>
    <col min="1" max="1" width="16" bestFit="1" customWidth="1"/>
    <col min="2" max="2" width="19" bestFit="1" customWidth="1"/>
    <col min="3" max="3" width="16.21875" bestFit="1" customWidth="1"/>
    <col min="4" max="4" width="13.21875" style="4" bestFit="1" customWidth="1"/>
    <col min="5" max="5" width="13.109375" style="4" bestFit="1" customWidth="1"/>
    <col min="6" max="6" width="9.88671875" bestFit="1" customWidth="1"/>
    <col min="7" max="7" width="14.21875" bestFit="1" customWidth="1"/>
    <col min="8" max="8" width="13" bestFit="1" customWidth="1"/>
    <col min="9" max="9" width="10.77734375" bestFit="1" customWidth="1"/>
    <col min="10" max="10" width="14.5546875" customWidth="1"/>
    <col min="11" max="11" width="14.77734375" bestFit="1" customWidth="1"/>
    <col min="12" max="12" width="8.77734375" style="4" bestFit="1" customWidth="1"/>
    <col min="13" max="13" width="9.88671875" bestFit="1" customWidth="1"/>
    <col min="14" max="14" width="8.77734375" bestFit="1" customWidth="1"/>
    <col min="15" max="15" width="9.88671875" bestFit="1" customWidth="1"/>
    <col min="16" max="16" width="8.77734375" bestFit="1" customWidth="1"/>
    <col min="17" max="17" width="11" bestFit="1" customWidth="1"/>
    <col min="18" max="18" width="8.77734375" bestFit="1" customWidth="1"/>
    <col min="19" max="19" width="13" bestFit="1" customWidth="1"/>
    <col min="20" max="20" width="8.77734375" bestFit="1" customWidth="1"/>
    <col min="21" max="21" width="9.88671875" bestFit="1" customWidth="1"/>
    <col min="22" max="22" width="8.77734375" bestFit="1" customWidth="1"/>
    <col min="23" max="23" width="14.77734375" bestFit="1" customWidth="1"/>
    <col min="24" max="24" width="8.77734375" bestFit="1" customWidth="1"/>
    <col min="25" max="25" width="10.77734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s="4" t="s">
        <v>103</v>
      </c>
      <c r="E1" s="4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s="4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s="4" t="s">
        <v>5</v>
      </c>
      <c r="E2" s="4">
        <v>7</v>
      </c>
      <c r="F2" s="1">
        <v>46095</v>
      </c>
      <c r="G2" t="s">
        <v>6</v>
      </c>
      <c r="H2" t="s">
        <v>108</v>
      </c>
      <c r="I2" s="6" t="s">
        <v>36</v>
      </c>
      <c r="J2" t="s">
        <v>42</v>
      </c>
      <c r="K2" t="s">
        <v>43</v>
      </c>
      <c r="L2" s="4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s="4" t="s">
        <v>5</v>
      </c>
      <c r="E3" s="4">
        <v>7</v>
      </c>
      <c r="F3" s="1">
        <v>46194</v>
      </c>
      <c r="G3" t="s">
        <v>9</v>
      </c>
      <c r="H3" t="s">
        <v>109</v>
      </c>
      <c r="I3" s="6" t="s">
        <v>37</v>
      </c>
      <c r="J3" t="s">
        <v>47</v>
      </c>
      <c r="K3" t="s">
        <v>48</v>
      </c>
      <c r="L3" s="4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s="4" t="s">
        <v>12</v>
      </c>
      <c r="E4" s="4">
        <v>2</v>
      </c>
      <c r="F4" s="1">
        <v>46115</v>
      </c>
      <c r="G4" t="s">
        <v>13</v>
      </c>
      <c r="H4" t="s">
        <v>110</v>
      </c>
      <c r="I4" s="6" t="s">
        <v>38</v>
      </c>
      <c r="J4" t="s">
        <v>53</v>
      </c>
      <c r="K4" t="s">
        <v>54</v>
      </c>
      <c r="L4" s="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s="4" t="s">
        <v>16</v>
      </c>
      <c r="E5" s="4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s="4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s="4" t="s">
        <v>19</v>
      </c>
      <c r="E6" s="4">
        <v>6</v>
      </c>
      <c r="F6" s="1">
        <v>46109</v>
      </c>
      <c r="G6" t="s">
        <v>20</v>
      </c>
      <c r="H6" t="s">
        <v>125</v>
      </c>
      <c r="I6" s="6" t="s">
        <v>39</v>
      </c>
      <c r="J6" t="s">
        <v>63</v>
      </c>
      <c r="K6" t="s">
        <v>64</v>
      </c>
      <c r="L6" s="4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s="4" t="s">
        <v>22</v>
      </c>
      <c r="E7" s="4">
        <v>4</v>
      </c>
      <c r="F7" s="1">
        <v>46130</v>
      </c>
      <c r="G7" t="s">
        <v>23</v>
      </c>
      <c r="H7" t="s">
        <v>111</v>
      </c>
      <c r="I7" s="6" t="s">
        <v>40</v>
      </c>
      <c r="J7" t="s">
        <v>57</v>
      </c>
      <c r="K7" t="s">
        <v>58</v>
      </c>
      <c r="L7" s="4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s="4" t="s">
        <v>26</v>
      </c>
      <c r="E8" s="4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s="4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s="4" t="s">
        <v>16</v>
      </c>
      <c r="E9" s="4">
        <v>3</v>
      </c>
      <c r="F9" s="1">
        <v>46181</v>
      </c>
      <c r="G9" t="s">
        <v>29</v>
      </c>
      <c r="H9" t="s">
        <v>112</v>
      </c>
      <c r="I9" s="6" t="s">
        <v>41</v>
      </c>
      <c r="J9" t="s">
        <v>75</v>
      </c>
      <c r="K9" t="s">
        <v>76</v>
      </c>
      <c r="L9" s="4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s="4" t="s">
        <v>5</v>
      </c>
      <c r="E10" s="4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s="4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s="4" t="s">
        <v>12</v>
      </c>
      <c r="E11" s="4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s="4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s="4" t="s">
        <v>35</v>
      </c>
      <c r="E12" s="4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s="4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>
      <c r="D14" s="5"/>
      <c r="E14" s="5"/>
      <c r="L14" s="5"/>
    </row>
    <row r="15" spans="1:17" ht="15" thickTop="1" x14ac:dyDescent="0.3"/>
    <row r="16" spans="1:17" x14ac:dyDescent="0.3">
      <c r="A16" s="3" t="s">
        <v>100</v>
      </c>
      <c r="B16" s="14" t="s">
        <v>143</v>
      </c>
      <c r="C16" s="14"/>
      <c r="D16" s="14"/>
    </row>
    <row r="17" spans="1:12" x14ac:dyDescent="0.3">
      <c r="B17" s="9" t="s">
        <v>126</v>
      </c>
      <c r="C17" s="10" t="s">
        <v>91</v>
      </c>
      <c r="D17" s="11" t="s">
        <v>92</v>
      </c>
      <c r="E17"/>
    </row>
    <row r="18" spans="1:12" x14ac:dyDescent="0.3">
      <c r="B18" s="8" cm="1">
        <f t="array" ref="B18:B26">_xlfn.UNIQUE(M2:M12)</f>
        <v>90026</v>
      </c>
      <c r="C18" t="s">
        <v>127</v>
      </c>
      <c r="D18" s="4" t="s">
        <v>136</v>
      </c>
      <c r="E18"/>
    </row>
    <row r="19" spans="1:12" x14ac:dyDescent="0.3">
      <c r="B19" s="8">
        <v>78741</v>
      </c>
      <c r="C19" t="s">
        <v>128</v>
      </c>
      <c r="D19" s="4" t="s">
        <v>137</v>
      </c>
      <c r="E19"/>
    </row>
    <row r="20" spans="1:12" x14ac:dyDescent="0.3">
      <c r="B20" s="8">
        <v>90046</v>
      </c>
      <c r="C20" t="s">
        <v>129</v>
      </c>
      <c r="D20" s="4" t="s">
        <v>136</v>
      </c>
      <c r="E20"/>
    </row>
    <row r="21" spans="1:12" x14ac:dyDescent="0.3">
      <c r="B21" s="8">
        <v>60616</v>
      </c>
      <c r="C21" t="s">
        <v>130</v>
      </c>
      <c r="D21" s="4" t="s">
        <v>138</v>
      </c>
      <c r="E21"/>
    </row>
    <row r="22" spans="1:12" x14ac:dyDescent="0.3">
      <c r="B22" s="8">
        <v>10011</v>
      </c>
      <c r="C22" t="s">
        <v>131</v>
      </c>
      <c r="D22" s="4" t="s">
        <v>139</v>
      </c>
      <c r="E22"/>
    </row>
    <row r="23" spans="1:12" x14ac:dyDescent="0.3">
      <c r="B23" s="8">
        <v>97214</v>
      </c>
      <c r="C23" t="s">
        <v>132</v>
      </c>
      <c r="D23" s="4" t="s">
        <v>142</v>
      </c>
      <c r="E23"/>
    </row>
    <row r="24" spans="1:12" x14ac:dyDescent="0.3">
      <c r="B24" s="8">
        <v>48226</v>
      </c>
      <c r="C24" t="s">
        <v>133</v>
      </c>
      <c r="D24" s="4" t="s">
        <v>141</v>
      </c>
      <c r="E24"/>
    </row>
    <row r="25" spans="1:12" x14ac:dyDescent="0.3">
      <c r="B25" s="8">
        <v>10012</v>
      </c>
      <c r="C25" t="s">
        <v>131</v>
      </c>
      <c r="D25" s="4" t="s">
        <v>139</v>
      </c>
      <c r="E25"/>
    </row>
    <row r="26" spans="1:12" x14ac:dyDescent="0.3">
      <c r="B26" s="8">
        <v>33132</v>
      </c>
      <c r="C26" t="s">
        <v>134</v>
      </c>
      <c r="D26" s="4" t="s">
        <v>140</v>
      </c>
      <c r="E26"/>
    </row>
    <row r="27" spans="1:12" x14ac:dyDescent="0.3">
      <c r="D27"/>
      <c r="E27"/>
      <c r="L27"/>
    </row>
    <row r="28" spans="1:12" x14ac:dyDescent="0.3">
      <c r="D28"/>
      <c r="E28"/>
      <c r="L28"/>
    </row>
    <row r="29" spans="1:12" x14ac:dyDescent="0.3">
      <c r="D29"/>
      <c r="E29"/>
      <c r="L29"/>
    </row>
    <row r="30" spans="1:12" x14ac:dyDescent="0.3">
      <c r="A30" s="3" t="s">
        <v>101</v>
      </c>
      <c r="B30" s="14" t="s">
        <v>144</v>
      </c>
      <c r="C30" s="14"/>
      <c r="D30" s="14"/>
      <c r="E30" s="14"/>
    </row>
    <row r="31" spans="1:12" x14ac:dyDescent="0.3">
      <c r="B31" s="9" t="s">
        <v>107</v>
      </c>
      <c r="C31" s="10" t="s">
        <v>105</v>
      </c>
      <c r="D31" s="15" t="s">
        <v>135</v>
      </c>
      <c r="E31" s="15"/>
    </row>
    <row r="32" spans="1:12" ht="14.4" customHeight="1" x14ac:dyDescent="0.3">
      <c r="B32" s="7" t="str" cm="1">
        <f t="array" ref="B32:B37">_xlfn.UNIQUE(H2:H12)</f>
        <v>u0156</v>
      </c>
      <c r="C32" t="s">
        <v>6</v>
      </c>
      <c r="D32" s="19" t="s">
        <v>36</v>
      </c>
      <c r="E32" s="19"/>
      <c r="F32" s="19"/>
    </row>
    <row r="33" spans="1:12" ht="14.4" customHeight="1" x14ac:dyDescent="0.3">
      <c r="B33" s="7" t="str">
        <v>u1023</v>
      </c>
      <c r="C33" t="s">
        <v>9</v>
      </c>
      <c r="D33" s="19" t="s">
        <v>37</v>
      </c>
      <c r="E33" s="19"/>
      <c r="F33" s="19"/>
    </row>
    <row r="34" spans="1:12" ht="14.4" customHeight="1" x14ac:dyDescent="0.3">
      <c r="B34" s="7" t="str">
        <v>u0561</v>
      </c>
      <c r="C34" t="s">
        <v>13</v>
      </c>
      <c r="D34" s="19" t="s">
        <v>38</v>
      </c>
      <c r="E34" s="19"/>
      <c r="F34" s="19"/>
    </row>
    <row r="35" spans="1:12" ht="14.4" customHeight="1" x14ac:dyDescent="0.3">
      <c r="B35" s="7" t="str">
        <v>u0865</v>
      </c>
      <c r="C35" t="s">
        <v>20</v>
      </c>
      <c r="D35" s="19" t="s">
        <v>39</v>
      </c>
      <c r="E35" s="19"/>
      <c r="F35" s="19"/>
    </row>
    <row r="36" spans="1:12" ht="14.4" customHeight="1" x14ac:dyDescent="0.3">
      <c r="B36" s="7" t="str">
        <v>u0422</v>
      </c>
      <c r="C36" t="s">
        <v>23</v>
      </c>
      <c r="D36" s="19" t="s">
        <v>40</v>
      </c>
      <c r="E36" s="19"/>
      <c r="F36" s="19"/>
    </row>
    <row r="37" spans="1:12" ht="14.4" customHeight="1" x14ac:dyDescent="0.3">
      <c r="B37" s="7" t="str">
        <v>u0187</v>
      </c>
      <c r="C37" t="s">
        <v>29</v>
      </c>
      <c r="D37" s="19" t="s">
        <v>41</v>
      </c>
      <c r="E37" s="19"/>
      <c r="F37" s="19"/>
    </row>
    <row r="38" spans="1:12" x14ac:dyDescent="0.3">
      <c r="D38"/>
      <c r="E38"/>
      <c r="L38"/>
    </row>
    <row r="39" spans="1:12" x14ac:dyDescent="0.3">
      <c r="D39"/>
      <c r="E39"/>
      <c r="L39"/>
    </row>
    <row r="40" spans="1:12" x14ac:dyDescent="0.3">
      <c r="D40"/>
      <c r="E40"/>
      <c r="L40"/>
    </row>
    <row r="41" spans="1:12" x14ac:dyDescent="0.3">
      <c r="D41"/>
    </row>
    <row r="42" spans="1:12" x14ac:dyDescent="0.3">
      <c r="A42" s="3" t="s">
        <v>102</v>
      </c>
      <c r="B42" s="14" t="s">
        <v>145</v>
      </c>
      <c r="C42" s="14"/>
      <c r="D42"/>
    </row>
    <row r="43" spans="1:12" x14ac:dyDescent="0.3">
      <c r="B43" s="9" t="s">
        <v>104</v>
      </c>
      <c r="C43" s="10" t="s">
        <v>103</v>
      </c>
      <c r="D43"/>
    </row>
    <row r="44" spans="1:12" x14ac:dyDescent="0.3">
      <c r="B44" s="12" cm="1">
        <f t="array" ref="B44:B50">_xlfn.UNIQUE(E2:E12)</f>
        <v>7</v>
      </c>
      <c r="C44" t="s">
        <v>5</v>
      </c>
      <c r="D44"/>
    </row>
    <row r="45" spans="1:12" x14ac:dyDescent="0.3">
      <c r="B45" s="12">
        <v>2</v>
      </c>
      <c r="C45" t="s">
        <v>12</v>
      </c>
      <c r="D45"/>
    </row>
    <row r="46" spans="1:12" x14ac:dyDescent="0.3">
      <c r="B46" s="12">
        <v>3</v>
      </c>
      <c r="C46" t="s">
        <v>16</v>
      </c>
      <c r="D46"/>
    </row>
    <row r="47" spans="1:12" x14ac:dyDescent="0.3">
      <c r="B47" s="12">
        <v>6</v>
      </c>
      <c r="C47" t="s">
        <v>19</v>
      </c>
      <c r="D47"/>
    </row>
    <row r="48" spans="1:12" x14ac:dyDescent="0.3">
      <c r="B48" s="12">
        <v>4</v>
      </c>
      <c r="C48" t="s">
        <v>22</v>
      </c>
      <c r="D48"/>
    </row>
    <row r="49" spans="1:9" x14ac:dyDescent="0.3">
      <c r="B49" s="12">
        <v>5</v>
      </c>
      <c r="C49" t="s">
        <v>26</v>
      </c>
      <c r="D49"/>
    </row>
    <row r="50" spans="1:9" x14ac:dyDescent="0.3">
      <c r="B50" s="12">
        <v>1</v>
      </c>
      <c r="C50" t="s">
        <v>35</v>
      </c>
      <c r="D50"/>
    </row>
    <row r="51" spans="1:9" x14ac:dyDescent="0.3">
      <c r="D51"/>
    </row>
    <row r="52" spans="1:9" x14ac:dyDescent="0.3">
      <c r="D52"/>
    </row>
    <row r="53" spans="1:9" x14ac:dyDescent="0.3">
      <c r="D53"/>
    </row>
    <row r="54" spans="1:9" x14ac:dyDescent="0.3">
      <c r="D54"/>
    </row>
    <row r="55" spans="1:9" x14ac:dyDescent="0.3">
      <c r="A55" s="3" t="s">
        <v>124</v>
      </c>
      <c r="B55" s="14" t="s">
        <v>147</v>
      </c>
      <c r="C55" s="14"/>
      <c r="D55" s="14"/>
      <c r="E55" s="14"/>
      <c r="F55" s="14"/>
      <c r="G55" s="14"/>
      <c r="H55" s="14"/>
      <c r="I55" s="14"/>
    </row>
    <row r="56" spans="1:9" x14ac:dyDescent="0.3">
      <c r="B56" s="9" t="s">
        <v>114</v>
      </c>
      <c r="C56" s="10" t="s">
        <v>146</v>
      </c>
      <c r="D56" s="18" t="s">
        <v>94</v>
      </c>
      <c r="E56" s="18"/>
      <c r="F56" s="17" t="s">
        <v>95</v>
      </c>
      <c r="G56" s="17"/>
      <c r="H56" s="16" t="s">
        <v>113</v>
      </c>
      <c r="I56" s="16"/>
    </row>
    <row r="57" spans="1:9" x14ac:dyDescent="0.3">
      <c r="B57" s="7" t="str" cm="1">
        <f t="array" ref="B57:B65">_xlfn.UNIQUE(N2:N12)</f>
        <v>Starlight_CA</v>
      </c>
      <c r="C57" t="str">
        <f>O2</f>
        <v xml:space="preserve"> Maria Riley</v>
      </c>
      <c r="D57" s="13" t="str">
        <f>P2</f>
        <v xml:space="preserve"> maria.r@starlightbar.com</v>
      </c>
      <c r="E57" s="13"/>
      <c r="F57" s="16" t="str">
        <f>Q2</f>
        <v xml:space="preserve"> (323) 555-0142</v>
      </c>
      <c r="G57" s="16"/>
      <c r="H57" s="13" t="s">
        <v>4</v>
      </c>
      <c r="I57" s="13"/>
    </row>
    <row r="58" spans="1:9" x14ac:dyDescent="0.3">
      <c r="B58" s="7" t="str">
        <v>RivAmp_TX</v>
      </c>
      <c r="C58" t="s">
        <v>50</v>
      </c>
      <c r="D58" s="13" t="str">
        <f>P3</f>
        <v xml:space="preserve"> jmitchell@riversideamp.com</v>
      </c>
      <c r="E58" s="13"/>
      <c r="F58" s="16" t="str">
        <f>Q3</f>
        <v xml:space="preserve"> (512) 555-0298</v>
      </c>
      <c r="G58" s="16"/>
      <c r="H58" s="13" t="s">
        <v>8</v>
      </c>
      <c r="I58" s="13"/>
    </row>
    <row r="59" spans="1:9" x14ac:dyDescent="0.3">
      <c r="B59" s="7" t="str">
        <v>LafFctry_CA</v>
      </c>
      <c r="C59" t="s">
        <v>99</v>
      </c>
      <c r="D59" s="13" t="s">
        <v>55</v>
      </c>
      <c r="E59" s="13"/>
      <c r="F59" s="16" t="str">
        <f>Q4</f>
        <v xml:space="preserve"> (323) 555-0187</v>
      </c>
      <c r="G59" s="16"/>
      <c r="H59" s="13" t="s">
        <v>11</v>
      </c>
      <c r="I59" s="13"/>
    </row>
    <row r="60" spans="1:9" x14ac:dyDescent="0.3">
      <c r="B60" s="7" t="str">
        <v>DtwnCon_IL</v>
      </c>
      <c r="C60" t="s">
        <v>60</v>
      </c>
      <c r="D60" s="13" t="s">
        <v>61</v>
      </c>
      <c r="E60" s="13"/>
      <c r="F60" s="16" t="str">
        <f>Q5</f>
        <v xml:space="preserve"> (312) 555-0456</v>
      </c>
      <c r="G60" s="16"/>
      <c r="H60" s="13" t="s">
        <v>15</v>
      </c>
      <c r="I60" s="13"/>
    </row>
    <row r="61" spans="1:9" x14ac:dyDescent="0.3">
      <c r="B61" s="7" t="str">
        <v>CafeB_NY</v>
      </c>
      <c r="C61" t="s">
        <v>66</v>
      </c>
      <c r="D61" s="13" t="str">
        <f>P6</f>
        <v xml:space="preserve"> sophie@cafeboheme.nyc</v>
      </c>
      <c r="E61" s="13"/>
      <c r="F61" s="16" t="str">
        <f>Q6</f>
        <v xml:space="preserve"> (212) 555-0333</v>
      </c>
      <c r="G61" s="16"/>
      <c r="H61" s="13" t="s">
        <v>18</v>
      </c>
      <c r="I61" s="13"/>
    </row>
    <row r="62" spans="1:9" x14ac:dyDescent="0.3">
      <c r="B62" s="7" t="str">
        <v>MetroCin_OR</v>
      </c>
      <c r="C62" t="str">
        <f>O8</f>
        <v xml:space="preserve"> Robert Kim</v>
      </c>
      <c r="D62" s="13" t="str">
        <f>P8</f>
        <v xml:space="preserve"> robert.kim@metrocinema.org</v>
      </c>
      <c r="E62" s="13"/>
      <c r="F62" s="16" t="str">
        <f>Q8</f>
        <v xml:space="preserve"> (503) 555-0721</v>
      </c>
      <c r="G62" s="16"/>
      <c r="H62" s="13" t="s">
        <v>25</v>
      </c>
      <c r="I62" s="13"/>
    </row>
    <row r="63" spans="1:9" x14ac:dyDescent="0.3">
      <c r="B63" s="7" t="str">
        <v>GrBall_MI</v>
      </c>
      <c r="C63" t="str">
        <f>O9</f>
        <v xml:space="preserve"> Elizabeth Thompson</v>
      </c>
      <c r="D63" s="13" t="str">
        <f>P9</f>
        <v xml:space="preserve"> ethompson@grandballroom.com</v>
      </c>
      <c r="E63" s="13"/>
      <c r="F63" s="16" t="str">
        <f>Q9</f>
        <v xml:space="preserve"> (313) 555-0892</v>
      </c>
      <c r="G63" s="16"/>
      <c r="H63" s="13" t="s">
        <v>28</v>
      </c>
      <c r="I63" s="13"/>
    </row>
    <row r="64" spans="1:9" x14ac:dyDescent="0.3">
      <c r="B64" s="7" t="str">
        <v>ComCor_NY</v>
      </c>
      <c r="C64" t="str">
        <f>O11</f>
        <v xml:space="preserve"> Michael O'Brien</v>
      </c>
      <c r="D64" s="13" t="str">
        <f>P11</f>
        <v xml:space="preserve"> mike@comedycorner.com</v>
      </c>
      <c r="E64" s="13"/>
      <c r="F64" s="16" t="str">
        <f>Q11</f>
        <v xml:space="preserve"> (212) 555-0654</v>
      </c>
      <c r="G64" s="16"/>
      <c r="H64" s="13" t="s">
        <v>32</v>
      </c>
      <c r="I64" s="13"/>
    </row>
    <row r="65" spans="2:12" x14ac:dyDescent="0.3">
      <c r="B65" s="7" t="str">
        <v>GallDst_FL</v>
      </c>
      <c r="C65" t="str">
        <f>O12</f>
        <v xml:space="preserve"> Amanda Rivera</v>
      </c>
      <c r="D65" s="13" t="str">
        <f>P12</f>
        <v xml:space="preserve"> arivera@gallerydistrict.org</v>
      </c>
      <c r="E65" s="13"/>
      <c r="F65" s="16" t="str">
        <f>Q12</f>
        <v xml:space="preserve"> (305) 555-0401</v>
      </c>
      <c r="G65" s="16"/>
      <c r="H65" s="13" t="s">
        <v>34</v>
      </c>
      <c r="I65" s="13"/>
    </row>
    <row r="66" spans="2:12" x14ac:dyDescent="0.3">
      <c r="D66"/>
    </row>
    <row r="67" spans="2:12" x14ac:dyDescent="0.3">
      <c r="D67"/>
      <c r="E67"/>
      <c r="L67"/>
    </row>
    <row r="68" spans="2:12" x14ac:dyDescent="0.3">
      <c r="D68"/>
      <c r="E68"/>
      <c r="L68"/>
    </row>
    <row r="69" spans="2:12" x14ac:dyDescent="0.3">
      <c r="D69"/>
      <c r="E69"/>
      <c r="L69"/>
    </row>
    <row r="70" spans="2:12" x14ac:dyDescent="0.3">
      <c r="D70"/>
      <c r="E70"/>
      <c r="L70"/>
    </row>
    <row r="71" spans="2:12" x14ac:dyDescent="0.3">
      <c r="D71"/>
      <c r="E71"/>
      <c r="L71"/>
    </row>
    <row r="72" spans="2:12" x14ac:dyDescent="0.3">
      <c r="D72"/>
      <c r="E72"/>
      <c r="L72"/>
    </row>
    <row r="73" spans="2:12" x14ac:dyDescent="0.3">
      <c r="D73"/>
      <c r="E73"/>
      <c r="L73"/>
    </row>
    <row r="74" spans="2:12" x14ac:dyDescent="0.3">
      <c r="D74"/>
      <c r="E74"/>
      <c r="L74"/>
    </row>
    <row r="75" spans="2:12" x14ac:dyDescent="0.3">
      <c r="D75"/>
      <c r="E75"/>
      <c r="L75"/>
    </row>
    <row r="76" spans="2:12" x14ac:dyDescent="0.3">
      <c r="D76"/>
      <c r="E76"/>
      <c r="L76"/>
    </row>
    <row r="77" spans="2:12" x14ac:dyDescent="0.3">
      <c r="D77"/>
      <c r="E77"/>
      <c r="L77"/>
    </row>
    <row r="78" spans="2:12" x14ac:dyDescent="0.3">
      <c r="D78"/>
      <c r="E78"/>
      <c r="L78"/>
    </row>
    <row r="79" spans="2:12" x14ac:dyDescent="0.3">
      <c r="D79"/>
      <c r="E79"/>
      <c r="L79"/>
    </row>
    <row r="80" spans="2:12" x14ac:dyDescent="0.3">
      <c r="D80"/>
      <c r="E80"/>
      <c r="L80"/>
    </row>
    <row r="81" spans="4:12" x14ac:dyDescent="0.3">
      <c r="D81"/>
      <c r="E81"/>
      <c r="L81"/>
    </row>
    <row r="82" spans="4:12" x14ac:dyDescent="0.3">
      <c r="D82"/>
    </row>
    <row r="83" spans="4:12" x14ac:dyDescent="0.3">
      <c r="D83"/>
    </row>
    <row r="84" spans="4:12" x14ac:dyDescent="0.3">
      <c r="D84"/>
    </row>
  </sheetData>
  <sortState xmlns:xlrd2="http://schemas.microsoft.com/office/spreadsheetml/2017/richdata2" ref="B58:B65">
    <sortCondition ref="B58:B65"/>
  </sortState>
  <mergeCells count="41">
    <mergeCell ref="B16:D16"/>
    <mergeCell ref="B30:E30"/>
    <mergeCell ref="D60:E60"/>
    <mergeCell ref="D61:E61"/>
    <mergeCell ref="D32:F32"/>
    <mergeCell ref="D33:F33"/>
    <mergeCell ref="D34:F34"/>
    <mergeCell ref="D35:F35"/>
    <mergeCell ref="D36:F36"/>
    <mergeCell ref="D37:F37"/>
    <mergeCell ref="F65:G65"/>
    <mergeCell ref="B42:C42"/>
    <mergeCell ref="D62:E62"/>
    <mergeCell ref="D63:E63"/>
    <mergeCell ref="D64:E64"/>
    <mergeCell ref="D65:E65"/>
    <mergeCell ref="F56:G56"/>
    <mergeCell ref="F57:G57"/>
    <mergeCell ref="F58:G58"/>
    <mergeCell ref="F59:G59"/>
    <mergeCell ref="F60:G60"/>
    <mergeCell ref="F61:G61"/>
    <mergeCell ref="D56:E56"/>
    <mergeCell ref="D57:E57"/>
    <mergeCell ref="D58:E58"/>
    <mergeCell ref="D59:E59"/>
    <mergeCell ref="H59:I59"/>
    <mergeCell ref="H60:I60"/>
    <mergeCell ref="F62:G62"/>
    <mergeCell ref="F63:G63"/>
    <mergeCell ref="F64:G64"/>
    <mergeCell ref="B55:I55"/>
    <mergeCell ref="D31:E31"/>
    <mergeCell ref="H56:I56"/>
    <mergeCell ref="H57:I57"/>
    <mergeCell ref="H58:I58"/>
    <mergeCell ref="H61:I61"/>
    <mergeCell ref="H62:I62"/>
    <mergeCell ref="H63:I63"/>
    <mergeCell ref="H64:I64"/>
    <mergeCell ref="H65:I65"/>
  </mergeCells>
  <hyperlinks>
    <hyperlink ref="I3" r:id="rId1" xr:uid="{6B974FCD-9B1B-4A49-AD3E-0FAB89E11753}"/>
    <hyperlink ref="I2" r:id="rId2" xr:uid="{A218965A-1330-400E-805B-28F9011843B3}"/>
    <hyperlink ref="I4" r:id="rId3" xr:uid="{7AF7D72D-7802-44B7-A28A-86173C362B3A}"/>
    <hyperlink ref="I6" r:id="rId4" xr:uid="{380CEC77-7112-4A04-9A36-5CB03F013887}"/>
    <hyperlink ref="I7" r:id="rId5" xr:uid="{69CA7189-2732-4C76-9458-4620447EC66E}"/>
    <hyperlink ref="I9" r:id="rId6" xr:uid="{39F086B4-BC33-4717-99DF-8F93CC2A1D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D31-3CCF-4436-9D9B-7920E9053FDE}">
  <dimension ref="A1:Q84"/>
  <sheetViews>
    <sheetView tabSelected="1" topLeftCell="A4" workbookViewId="0">
      <selection activeCell="P24" sqref="P24"/>
    </sheetView>
  </sheetViews>
  <sheetFormatPr defaultRowHeight="14.4" x14ac:dyDescent="0.3"/>
  <cols>
    <col min="1" max="1" width="16" bestFit="1" customWidth="1"/>
    <col min="2" max="2" width="19" bestFit="1" customWidth="1"/>
    <col min="3" max="3" width="16.21875" bestFit="1" customWidth="1"/>
    <col min="4" max="4" width="13.21875" style="4" bestFit="1" customWidth="1"/>
    <col min="5" max="5" width="13.109375" style="4" bestFit="1" customWidth="1"/>
    <col min="6" max="6" width="9.88671875" bestFit="1" customWidth="1"/>
    <col min="7" max="7" width="14.21875" bestFit="1" customWidth="1"/>
    <col min="8" max="8" width="13" bestFit="1" customWidth="1"/>
    <col min="9" max="9" width="10.77734375" bestFit="1" customWidth="1"/>
    <col min="10" max="10" width="14.5546875" customWidth="1"/>
    <col min="11" max="11" width="15.109375" bestFit="1" customWidth="1"/>
    <col min="12" max="12" width="26.33203125" style="4" bestFit="1" customWidth="1"/>
    <col min="13" max="13" width="11.33203125" customWidth="1"/>
    <col min="14" max="14" width="15.77734375" bestFit="1" customWidth="1"/>
    <col min="15" max="15" width="9.88671875" bestFit="1" customWidth="1"/>
    <col min="16" max="16" width="8.77734375" bestFit="1" customWidth="1"/>
    <col min="17" max="17" width="11" bestFit="1" customWidth="1"/>
    <col min="18" max="18" width="8.77734375" bestFit="1" customWidth="1"/>
    <col min="19" max="19" width="13" bestFit="1" customWidth="1"/>
    <col min="20" max="20" width="8.77734375" bestFit="1" customWidth="1"/>
    <col min="21" max="21" width="9.88671875" bestFit="1" customWidth="1"/>
    <col min="22" max="22" width="8.77734375" bestFit="1" customWidth="1"/>
    <col min="23" max="23" width="14.77734375" bestFit="1" customWidth="1"/>
    <col min="24" max="24" width="8.77734375" bestFit="1" customWidth="1"/>
    <col min="25" max="25" width="10.77734375" bestFit="1" customWidth="1"/>
  </cols>
  <sheetData>
    <row r="1" spans="1:17" x14ac:dyDescent="0.3">
      <c r="A1" s="26" t="s">
        <v>156</v>
      </c>
      <c r="B1" t="s">
        <v>1</v>
      </c>
      <c r="C1" t="s">
        <v>113</v>
      </c>
      <c r="D1" s="4" t="s">
        <v>103</v>
      </c>
      <c r="E1" s="27" t="s">
        <v>158</v>
      </c>
      <c r="F1" t="s">
        <v>2</v>
      </c>
      <c r="G1" t="s">
        <v>105</v>
      </c>
      <c r="H1" s="26" t="s">
        <v>157</v>
      </c>
      <c r="I1" t="s">
        <v>106</v>
      </c>
      <c r="J1" t="s">
        <v>90</v>
      </c>
      <c r="K1" t="s">
        <v>91</v>
      </c>
      <c r="L1" s="4" t="s">
        <v>92</v>
      </c>
      <c r="M1" s="26" t="s">
        <v>150</v>
      </c>
      <c r="N1" t="s">
        <v>114</v>
      </c>
      <c r="O1" s="29" t="s">
        <v>159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s="4" t="s">
        <v>5</v>
      </c>
      <c r="E2" s="4">
        <v>7</v>
      </c>
      <c r="F2" s="1">
        <v>46095</v>
      </c>
      <c r="G2" t="s">
        <v>6</v>
      </c>
      <c r="H2" t="s">
        <v>108</v>
      </c>
      <c r="I2" s="6" t="s">
        <v>36</v>
      </c>
      <c r="J2" t="s">
        <v>42</v>
      </c>
      <c r="K2" t="s">
        <v>43</v>
      </c>
      <c r="L2" s="4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s="4" t="s">
        <v>5</v>
      </c>
      <c r="E3" s="4">
        <v>7</v>
      </c>
      <c r="F3" s="1">
        <v>46194</v>
      </c>
      <c r="G3" t="s">
        <v>9</v>
      </c>
      <c r="H3" t="s">
        <v>109</v>
      </c>
      <c r="I3" s="6" t="s">
        <v>37</v>
      </c>
      <c r="J3" t="s">
        <v>47</v>
      </c>
      <c r="K3" t="s">
        <v>48</v>
      </c>
      <c r="L3" s="4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s="4" t="s">
        <v>12</v>
      </c>
      <c r="E4" s="4">
        <v>2</v>
      </c>
      <c r="F4" s="1">
        <v>46115</v>
      </c>
      <c r="G4" t="s">
        <v>13</v>
      </c>
      <c r="H4" t="s">
        <v>110</v>
      </c>
      <c r="I4" s="6" t="s">
        <v>38</v>
      </c>
      <c r="J4" t="s">
        <v>53</v>
      </c>
      <c r="K4" t="s">
        <v>54</v>
      </c>
      <c r="L4" s="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s="4" t="s">
        <v>16</v>
      </c>
      <c r="E5" s="4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s="4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s="4" t="s">
        <v>19</v>
      </c>
      <c r="E6" s="4">
        <v>6</v>
      </c>
      <c r="F6" s="1">
        <v>46109</v>
      </c>
      <c r="G6" t="s">
        <v>20</v>
      </c>
      <c r="H6" t="s">
        <v>125</v>
      </c>
      <c r="I6" s="6" t="s">
        <v>39</v>
      </c>
      <c r="J6" t="s">
        <v>63</v>
      </c>
      <c r="K6" t="s">
        <v>64</v>
      </c>
      <c r="L6" s="4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s="4" t="s">
        <v>22</v>
      </c>
      <c r="E7" s="4">
        <v>4</v>
      </c>
      <c r="F7" s="1">
        <v>46130</v>
      </c>
      <c r="G7" t="s">
        <v>23</v>
      </c>
      <c r="H7" t="s">
        <v>111</v>
      </c>
      <c r="I7" s="6" t="s">
        <v>40</v>
      </c>
      <c r="J7" t="s">
        <v>57</v>
      </c>
      <c r="K7" t="s">
        <v>58</v>
      </c>
      <c r="L7" s="4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s="4" t="s">
        <v>26</v>
      </c>
      <c r="E8" s="4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s="4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s="4" t="s">
        <v>16</v>
      </c>
      <c r="E9" s="4">
        <v>3</v>
      </c>
      <c r="F9" s="1">
        <v>46181</v>
      </c>
      <c r="G9" t="s">
        <v>29</v>
      </c>
      <c r="H9" t="s">
        <v>112</v>
      </c>
      <c r="I9" s="6" t="s">
        <v>41</v>
      </c>
      <c r="J9" t="s">
        <v>75</v>
      </c>
      <c r="K9" t="s">
        <v>76</v>
      </c>
      <c r="L9" s="4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s="4" t="s">
        <v>5</v>
      </c>
      <c r="E10" s="4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s="4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s="4" t="s">
        <v>12</v>
      </c>
      <c r="E11" s="4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s="4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s="4" t="s">
        <v>35</v>
      </c>
      <c r="E12" s="4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s="4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>
      <c r="D14" s="5"/>
      <c r="E14" s="5"/>
      <c r="L14" s="5"/>
    </row>
    <row r="15" spans="1:17" ht="15" thickTop="1" x14ac:dyDescent="0.3"/>
    <row r="16" spans="1:17" x14ac:dyDescent="0.3">
      <c r="A16" s="3" t="s">
        <v>100</v>
      </c>
      <c r="B16" s="14" t="s">
        <v>160</v>
      </c>
      <c r="C16" s="14"/>
      <c r="D16" s="14"/>
    </row>
    <row r="17" spans="1:16" x14ac:dyDescent="0.3">
      <c r="B17" s="9" t="s">
        <v>150</v>
      </c>
      <c r="C17" s="10" t="s">
        <v>91</v>
      </c>
      <c r="D17" s="11" t="s">
        <v>92</v>
      </c>
      <c r="E17"/>
      <c r="H17" s="25" t="s">
        <v>152</v>
      </c>
      <c r="I17" s="25"/>
      <c r="J17" s="25"/>
      <c r="K17" s="14" t="s">
        <v>153</v>
      </c>
      <c r="L17" s="14"/>
      <c r="M17" s="14"/>
      <c r="N17" s="14"/>
    </row>
    <row r="18" spans="1:16" x14ac:dyDescent="0.3">
      <c r="B18" s="8" cm="1">
        <f t="array" ref="B18:B26">_xlfn.UNIQUE(M2:M12)</f>
        <v>90026</v>
      </c>
      <c r="C18" t="s">
        <v>127</v>
      </c>
      <c r="D18" s="4" t="s">
        <v>136</v>
      </c>
      <c r="E18"/>
      <c r="K18" s="23" t="s">
        <v>151</v>
      </c>
      <c r="L18" s="24" t="s">
        <v>154</v>
      </c>
      <c r="M18" s="10" t="s">
        <v>155</v>
      </c>
      <c r="N18" s="10" t="s">
        <v>90</v>
      </c>
    </row>
    <row r="19" spans="1:16" x14ac:dyDescent="0.3">
      <c r="B19" s="8">
        <v>78741</v>
      </c>
      <c r="C19" t="s">
        <v>128</v>
      </c>
      <c r="D19" s="4" t="s">
        <v>137</v>
      </c>
      <c r="E19"/>
      <c r="K19" s="7" t="str" cm="1">
        <f t="array" ref="K19:K27">_xlfn.UNIQUE(N2:N12)</f>
        <v>Starlight_CA</v>
      </c>
      <c r="L19" s="22" t="s">
        <v>3</v>
      </c>
      <c r="M19" s="4" cm="1">
        <f t="array" ref="M19:M27">_xlfn.UNIQUE(M2:M12)</f>
        <v>90026</v>
      </c>
      <c r="N19" t="str" cm="1">
        <f t="array" ref="N19:N27">_xlfn.UNIQUE(J2:J12)</f>
        <v xml:space="preserve"> 1847 Sunset Boulevard</v>
      </c>
    </row>
    <row r="20" spans="1:16" x14ac:dyDescent="0.3">
      <c r="B20" s="8">
        <v>90046</v>
      </c>
      <c r="C20" t="s">
        <v>129</v>
      </c>
      <c r="D20" s="4" t="s">
        <v>136</v>
      </c>
      <c r="E20"/>
      <c r="K20" s="7" t="str">
        <v>RivAmp_TX</v>
      </c>
      <c r="L20" s="22" t="str">
        <f>C3</f>
        <v>Riverside Amphitheater</v>
      </c>
      <c r="M20" s="4">
        <v>78741</v>
      </c>
      <c r="N20" t="str">
        <v xml:space="preserve"> 3250 Riverside Drive</v>
      </c>
    </row>
    <row r="21" spans="1:16" x14ac:dyDescent="0.3">
      <c r="B21" s="8">
        <v>60616</v>
      </c>
      <c r="C21" t="s">
        <v>130</v>
      </c>
      <c r="D21" s="4" t="s">
        <v>138</v>
      </c>
      <c r="E21"/>
      <c r="K21" s="7" t="str">
        <v>LafFctry_CA</v>
      </c>
      <c r="L21" s="22" t="str">
        <f>C4</f>
        <v>The Laugh Factory</v>
      </c>
      <c r="M21" s="4">
        <v>90046</v>
      </c>
      <c r="N21" t="str">
        <v xml:space="preserve"> 8001 Sunset Boulevard</v>
      </c>
    </row>
    <row r="22" spans="1:16" x14ac:dyDescent="0.3">
      <c r="B22" s="8">
        <v>10011</v>
      </c>
      <c r="C22" t="s">
        <v>131</v>
      </c>
      <c r="D22" s="4" t="s">
        <v>139</v>
      </c>
      <c r="E22"/>
      <c r="K22" s="7" t="str">
        <v>DtwnCon_IL</v>
      </c>
      <c r="L22" s="22" t="str">
        <f>C5</f>
        <v>Downtown Convention Center</v>
      </c>
      <c r="M22" s="4">
        <v>60616</v>
      </c>
      <c r="N22" t="str">
        <v xml:space="preserve"> 1201 Convention Plaza</v>
      </c>
    </row>
    <row r="23" spans="1:16" x14ac:dyDescent="0.3">
      <c r="B23" s="8">
        <v>97214</v>
      </c>
      <c r="C23" t="s">
        <v>132</v>
      </c>
      <c r="D23" s="4" t="s">
        <v>142</v>
      </c>
      <c r="E23"/>
      <c r="K23" s="7" t="str">
        <v>CafeB_NY</v>
      </c>
      <c r="L23" s="22" t="str">
        <f>C6</f>
        <v>Café Bohème</v>
      </c>
      <c r="M23" s="4">
        <v>10011</v>
      </c>
      <c r="N23" t="str">
        <v xml:space="preserve"> 428 Greenwich Avenue</v>
      </c>
    </row>
    <row r="24" spans="1:16" x14ac:dyDescent="0.3">
      <c r="B24" s="8">
        <v>48226</v>
      </c>
      <c r="C24" t="s">
        <v>133</v>
      </c>
      <c r="D24" s="4" t="s">
        <v>141</v>
      </c>
      <c r="E24"/>
      <c r="K24" s="7" t="str">
        <v>MetroCin_OR</v>
      </c>
      <c r="L24" s="22" t="str">
        <f>C8</f>
        <v>Metro Cinema</v>
      </c>
      <c r="M24" s="4">
        <v>97214</v>
      </c>
      <c r="N24" t="str">
        <v xml:space="preserve"> 2847 Broadway Street</v>
      </c>
      <c r="P24" t="s">
        <v>162</v>
      </c>
    </row>
    <row r="25" spans="1:16" x14ac:dyDescent="0.3">
      <c r="B25" s="8">
        <v>10012</v>
      </c>
      <c r="C25" t="s">
        <v>131</v>
      </c>
      <c r="D25" s="4" t="s">
        <v>139</v>
      </c>
      <c r="E25"/>
      <c r="K25" s="7" t="str">
        <v>GrBall_MI</v>
      </c>
      <c r="L25" s="22" t="str">
        <f>C9</f>
        <v>Grand Ballroom Hotel</v>
      </c>
      <c r="M25" s="4">
        <v>48226</v>
      </c>
      <c r="N25" t="str">
        <v xml:space="preserve"> 500 Michigan Avenue</v>
      </c>
    </row>
    <row r="26" spans="1:16" x14ac:dyDescent="0.3">
      <c r="B26" s="8">
        <v>33132</v>
      </c>
      <c r="C26" t="s">
        <v>134</v>
      </c>
      <c r="D26" s="4" t="s">
        <v>140</v>
      </c>
      <c r="E26"/>
      <c r="K26" s="7" t="str">
        <v>ComCor_NY</v>
      </c>
      <c r="L26" s="22" t="str">
        <f>C11</f>
        <v>Comedy Corner Club</v>
      </c>
      <c r="M26" s="4">
        <v>10012</v>
      </c>
      <c r="N26" t="str">
        <v xml:space="preserve"> 156 Bleecker Street</v>
      </c>
    </row>
    <row r="27" spans="1:16" x14ac:dyDescent="0.3">
      <c r="D27"/>
      <c r="E27"/>
      <c r="K27" s="7" t="str">
        <v>GallDst_FL</v>
      </c>
      <c r="L27" t="str">
        <f>C12</f>
        <v>Gallery District</v>
      </c>
      <c r="M27" s="4">
        <v>33132</v>
      </c>
      <c r="N27" t="str">
        <v xml:space="preserve"> 975 Art Walk Lane</v>
      </c>
    </row>
    <row r="28" spans="1:16" x14ac:dyDescent="0.3">
      <c r="D28"/>
      <c r="E28"/>
      <c r="L28"/>
    </row>
    <row r="29" spans="1:16" x14ac:dyDescent="0.3">
      <c r="D29"/>
      <c r="E29"/>
      <c r="L29"/>
    </row>
    <row r="30" spans="1:16" x14ac:dyDescent="0.3">
      <c r="A30" s="3" t="s">
        <v>101</v>
      </c>
      <c r="B30" s="14" t="s">
        <v>148</v>
      </c>
      <c r="C30" s="14"/>
      <c r="D30" s="14"/>
      <c r="E30" s="14"/>
    </row>
    <row r="31" spans="1:16" x14ac:dyDescent="0.3">
      <c r="B31" s="9" t="s">
        <v>107</v>
      </c>
      <c r="C31" s="10" t="s">
        <v>105</v>
      </c>
      <c r="D31" s="15" t="s">
        <v>135</v>
      </c>
      <c r="E31" s="15"/>
    </row>
    <row r="32" spans="1:16" ht="14.4" customHeight="1" x14ac:dyDescent="0.3">
      <c r="B32" s="7" t="str" cm="1">
        <f t="array" ref="B32:B37">_xlfn.UNIQUE(H2:H12)</f>
        <v>u0156</v>
      </c>
      <c r="C32" t="s">
        <v>6</v>
      </c>
      <c r="D32" s="19" t="s">
        <v>36</v>
      </c>
      <c r="E32" s="19"/>
      <c r="F32" s="19"/>
    </row>
    <row r="33" spans="1:12" ht="14.4" customHeight="1" x14ac:dyDescent="0.3">
      <c r="B33" s="7" t="str">
        <v>u1023</v>
      </c>
      <c r="C33" t="s">
        <v>9</v>
      </c>
      <c r="D33" s="19" t="s">
        <v>37</v>
      </c>
      <c r="E33" s="19"/>
      <c r="F33" s="19"/>
    </row>
    <row r="34" spans="1:12" ht="14.4" customHeight="1" x14ac:dyDescent="0.3">
      <c r="B34" s="7" t="str">
        <v>u0561</v>
      </c>
      <c r="C34" t="s">
        <v>13</v>
      </c>
      <c r="D34" s="19" t="s">
        <v>38</v>
      </c>
      <c r="E34" s="19"/>
      <c r="F34" s="19"/>
    </row>
    <row r="35" spans="1:12" ht="14.4" customHeight="1" x14ac:dyDescent="0.3">
      <c r="B35" s="7" t="str">
        <v>u0865</v>
      </c>
      <c r="C35" t="s">
        <v>20</v>
      </c>
      <c r="D35" s="19" t="s">
        <v>39</v>
      </c>
      <c r="E35" s="19"/>
      <c r="F35" s="19"/>
    </row>
    <row r="36" spans="1:12" ht="14.4" customHeight="1" x14ac:dyDescent="0.3">
      <c r="B36" s="7" t="str">
        <v>u0422</v>
      </c>
      <c r="C36" t="s">
        <v>23</v>
      </c>
      <c r="D36" s="19" t="s">
        <v>40</v>
      </c>
      <c r="E36" s="19"/>
      <c r="F36" s="19"/>
    </row>
    <row r="37" spans="1:12" ht="14.4" customHeight="1" x14ac:dyDescent="0.3">
      <c r="B37" s="7" t="str">
        <v>u0187</v>
      </c>
      <c r="C37" t="s">
        <v>29</v>
      </c>
      <c r="D37" s="19" t="s">
        <v>41</v>
      </c>
      <c r="E37" s="19"/>
      <c r="F37" s="19"/>
    </row>
    <row r="38" spans="1:12" x14ac:dyDescent="0.3">
      <c r="D38"/>
      <c r="E38"/>
      <c r="L38"/>
    </row>
    <row r="39" spans="1:12" x14ac:dyDescent="0.3">
      <c r="D39"/>
      <c r="E39"/>
      <c r="L39"/>
    </row>
    <row r="40" spans="1:12" x14ac:dyDescent="0.3">
      <c r="D40"/>
      <c r="E40"/>
      <c r="L40"/>
    </row>
    <row r="41" spans="1:12" x14ac:dyDescent="0.3">
      <c r="D41"/>
    </row>
    <row r="42" spans="1:12" x14ac:dyDescent="0.3">
      <c r="A42" s="3" t="s">
        <v>102</v>
      </c>
      <c r="B42" s="14" t="s">
        <v>149</v>
      </c>
      <c r="C42" s="14"/>
      <c r="D42"/>
    </row>
    <row r="43" spans="1:12" x14ac:dyDescent="0.3">
      <c r="B43" s="9" t="s">
        <v>104</v>
      </c>
      <c r="C43" s="10" t="s">
        <v>103</v>
      </c>
      <c r="D43"/>
    </row>
    <row r="44" spans="1:12" x14ac:dyDescent="0.3">
      <c r="B44" s="12" cm="1">
        <f t="array" ref="B44:B50">_xlfn.UNIQUE(E2:E12)</f>
        <v>7</v>
      </c>
      <c r="C44" t="s">
        <v>5</v>
      </c>
      <c r="D44"/>
    </row>
    <row r="45" spans="1:12" x14ac:dyDescent="0.3">
      <c r="B45" s="12">
        <v>2</v>
      </c>
      <c r="C45" t="s">
        <v>12</v>
      </c>
      <c r="D45"/>
    </row>
    <row r="46" spans="1:12" x14ac:dyDescent="0.3">
      <c r="B46" s="12">
        <v>3</v>
      </c>
      <c r="C46" t="s">
        <v>16</v>
      </c>
      <c r="D46"/>
    </row>
    <row r="47" spans="1:12" x14ac:dyDescent="0.3">
      <c r="B47" s="12">
        <v>6</v>
      </c>
      <c r="C47" t="s">
        <v>19</v>
      </c>
      <c r="D47"/>
    </row>
    <row r="48" spans="1:12" x14ac:dyDescent="0.3">
      <c r="B48" s="12">
        <v>4</v>
      </c>
      <c r="C48" t="s">
        <v>22</v>
      </c>
      <c r="D48"/>
    </row>
    <row r="49" spans="1:9" x14ac:dyDescent="0.3">
      <c r="B49" s="12">
        <v>5</v>
      </c>
      <c r="C49" t="s">
        <v>26</v>
      </c>
      <c r="D49"/>
    </row>
    <row r="50" spans="1:9" x14ac:dyDescent="0.3">
      <c r="B50" s="12">
        <v>1</v>
      </c>
      <c r="C50" t="s">
        <v>35</v>
      </c>
      <c r="D50"/>
    </row>
    <row r="51" spans="1:9" x14ac:dyDescent="0.3">
      <c r="D51"/>
    </row>
    <row r="52" spans="1:9" x14ac:dyDescent="0.3">
      <c r="D52"/>
    </row>
    <row r="53" spans="1:9" x14ac:dyDescent="0.3">
      <c r="D53"/>
    </row>
    <row r="54" spans="1:9" x14ac:dyDescent="0.3">
      <c r="D54"/>
    </row>
    <row r="55" spans="1:9" x14ac:dyDescent="0.3">
      <c r="A55" s="3" t="s">
        <v>124</v>
      </c>
      <c r="B55" s="14" t="s">
        <v>146</v>
      </c>
      <c r="C55" s="14"/>
      <c r="D55" s="14"/>
      <c r="E55" s="14"/>
      <c r="F55" s="14"/>
      <c r="G55" s="14"/>
      <c r="H55" s="21"/>
      <c r="I55" s="21"/>
    </row>
    <row r="56" spans="1:9" x14ac:dyDescent="0.3">
      <c r="A56" s="17" t="s">
        <v>94</v>
      </c>
      <c r="B56" s="17"/>
      <c r="C56" s="28" t="s">
        <v>161</v>
      </c>
      <c r="D56" s="31" t="s">
        <v>96</v>
      </c>
      <c r="E56" s="31"/>
      <c r="F56" s="17" t="s">
        <v>95</v>
      </c>
      <c r="G56" s="17"/>
      <c r="H56" s="20"/>
      <c r="I56" s="20"/>
    </row>
    <row r="57" spans="1:9" x14ac:dyDescent="0.3">
      <c r="A57" s="16" t="str">
        <f>P2</f>
        <v xml:space="preserve"> maria.r@starlightbar.com</v>
      </c>
      <c r="B57" s="16"/>
      <c r="C57" s="29" t="str" cm="1">
        <f t="array" ref="C57:C65">_xlfn.UNIQUE(N2:N12)</f>
        <v>Starlight_CA</v>
      </c>
      <c r="D57" s="30" t="str">
        <f>O2</f>
        <v xml:space="preserve"> Maria Riley</v>
      </c>
      <c r="E57" s="30"/>
      <c r="F57" s="16" t="str">
        <f>Q2</f>
        <v xml:space="preserve"> (323) 555-0142</v>
      </c>
      <c r="G57" s="16"/>
      <c r="H57" s="20"/>
      <c r="I57" s="20"/>
    </row>
    <row r="58" spans="1:9" x14ac:dyDescent="0.3">
      <c r="A58" s="16" t="str">
        <f>P3</f>
        <v xml:space="preserve"> jmitchell@riversideamp.com</v>
      </c>
      <c r="B58" s="16"/>
      <c r="C58" s="29" t="str">
        <v>RivAmp_TX</v>
      </c>
      <c r="D58" s="30" t="s">
        <v>50</v>
      </c>
      <c r="E58" s="30"/>
      <c r="F58" s="16" t="str">
        <f>Q3</f>
        <v xml:space="preserve"> (512) 555-0298</v>
      </c>
      <c r="G58" s="16"/>
      <c r="H58" s="20"/>
      <c r="I58" s="20"/>
    </row>
    <row r="59" spans="1:9" x14ac:dyDescent="0.3">
      <c r="A59" s="16" t="s">
        <v>55</v>
      </c>
      <c r="B59" s="16"/>
      <c r="C59" s="29" t="str">
        <v>LafFctry_CA</v>
      </c>
      <c r="D59" s="30" t="s">
        <v>99</v>
      </c>
      <c r="E59" s="30"/>
      <c r="F59" s="16" t="str">
        <f>Q4</f>
        <v xml:space="preserve"> (323) 555-0187</v>
      </c>
      <c r="G59" s="16"/>
      <c r="H59" s="20"/>
      <c r="I59" s="20"/>
    </row>
    <row r="60" spans="1:9" x14ac:dyDescent="0.3">
      <c r="A60" s="16" t="s">
        <v>61</v>
      </c>
      <c r="B60" s="16"/>
      <c r="C60" s="29" t="str">
        <v>DtwnCon_IL</v>
      </c>
      <c r="D60" s="30" t="s">
        <v>60</v>
      </c>
      <c r="E60" s="30"/>
      <c r="F60" s="16" t="str">
        <f>Q5</f>
        <v xml:space="preserve"> (312) 555-0456</v>
      </c>
      <c r="G60" s="16"/>
      <c r="H60" s="20"/>
      <c r="I60" s="20"/>
    </row>
    <row r="61" spans="1:9" x14ac:dyDescent="0.3">
      <c r="A61" s="16" t="str">
        <f>P6</f>
        <v xml:space="preserve"> sophie@cafeboheme.nyc</v>
      </c>
      <c r="B61" s="16"/>
      <c r="C61" s="29" t="str">
        <v>CafeB_NY</v>
      </c>
      <c r="D61" s="30" t="s">
        <v>66</v>
      </c>
      <c r="E61" s="30"/>
      <c r="F61" s="16" t="str">
        <f>Q6</f>
        <v xml:space="preserve"> (212) 555-0333</v>
      </c>
      <c r="G61" s="16"/>
      <c r="H61" s="20"/>
      <c r="I61" s="20"/>
    </row>
    <row r="62" spans="1:9" x14ac:dyDescent="0.3">
      <c r="A62" s="16" t="str">
        <f>P8</f>
        <v xml:space="preserve"> robert.kim@metrocinema.org</v>
      </c>
      <c r="B62" s="16"/>
      <c r="C62" s="29" t="str">
        <v>MetroCin_OR</v>
      </c>
      <c r="D62" s="30" t="str">
        <f>O8</f>
        <v xml:space="preserve"> Robert Kim</v>
      </c>
      <c r="E62" s="30"/>
      <c r="F62" s="16" t="str">
        <f>Q8</f>
        <v xml:space="preserve"> (503) 555-0721</v>
      </c>
      <c r="G62" s="16"/>
      <c r="H62" s="20"/>
      <c r="I62" s="20"/>
    </row>
    <row r="63" spans="1:9" x14ac:dyDescent="0.3">
      <c r="A63" s="16" t="str">
        <f>P9</f>
        <v xml:space="preserve"> ethompson@grandballroom.com</v>
      </c>
      <c r="B63" s="16"/>
      <c r="C63" s="29" t="str">
        <v>GrBall_MI</v>
      </c>
      <c r="D63" s="30" t="str">
        <f>O9</f>
        <v xml:space="preserve"> Elizabeth Thompson</v>
      </c>
      <c r="E63" s="30"/>
      <c r="F63" s="16" t="str">
        <f>Q9</f>
        <v xml:space="preserve"> (313) 555-0892</v>
      </c>
      <c r="G63" s="16"/>
      <c r="H63" s="20"/>
      <c r="I63" s="20"/>
    </row>
    <row r="64" spans="1:9" x14ac:dyDescent="0.3">
      <c r="A64" s="16" t="str">
        <f>P11</f>
        <v xml:space="preserve"> mike@comedycorner.com</v>
      </c>
      <c r="B64" s="16"/>
      <c r="C64" s="29" t="str">
        <v>ComCor_NY</v>
      </c>
      <c r="D64" s="30" t="str">
        <f>O11</f>
        <v xml:space="preserve"> Michael O'Brien</v>
      </c>
      <c r="E64" s="30"/>
      <c r="F64" s="16" t="str">
        <f>Q11</f>
        <v xml:space="preserve"> (212) 555-0654</v>
      </c>
      <c r="G64" s="16"/>
      <c r="H64" s="20"/>
      <c r="I64" s="20"/>
    </row>
    <row r="65" spans="1:12" x14ac:dyDescent="0.3">
      <c r="A65" s="16" t="str">
        <f>P12</f>
        <v xml:space="preserve"> arivera@gallerydistrict.org</v>
      </c>
      <c r="B65" s="16"/>
      <c r="C65" s="29" t="str">
        <v>GallDst_FL</v>
      </c>
      <c r="D65" s="30" t="str">
        <f>O12</f>
        <v xml:space="preserve"> Amanda Rivera</v>
      </c>
      <c r="E65" s="30"/>
      <c r="F65" s="16" t="str">
        <f>Q12</f>
        <v xml:space="preserve"> (305) 555-0401</v>
      </c>
      <c r="G65" s="16"/>
      <c r="H65" s="13"/>
      <c r="I65" s="13"/>
    </row>
    <row r="66" spans="1:12" x14ac:dyDescent="0.3">
      <c r="D66"/>
    </row>
    <row r="67" spans="1:12" x14ac:dyDescent="0.3">
      <c r="B67" s="16"/>
      <c r="C67" s="16"/>
      <c r="D67" s="16"/>
      <c r="E67" s="16"/>
      <c r="F67" s="16"/>
      <c r="G67" s="16"/>
      <c r="L67"/>
    </row>
    <row r="68" spans="1:12" x14ac:dyDescent="0.3">
      <c r="B68" s="16"/>
      <c r="C68" s="16"/>
      <c r="D68" s="16"/>
      <c r="E68" s="16"/>
      <c r="F68" s="16"/>
      <c r="G68" s="16"/>
      <c r="L68"/>
    </row>
    <row r="69" spans="1:12" x14ac:dyDescent="0.3">
      <c r="B69" s="16"/>
      <c r="C69" s="16"/>
      <c r="D69" s="16"/>
      <c r="E69" s="16"/>
      <c r="F69" s="16"/>
      <c r="G69" s="16"/>
      <c r="L69"/>
    </row>
    <row r="70" spans="1:12" x14ac:dyDescent="0.3">
      <c r="D70"/>
      <c r="E70"/>
      <c r="L70"/>
    </row>
    <row r="71" spans="1:12" x14ac:dyDescent="0.3">
      <c r="D71"/>
      <c r="E71"/>
      <c r="L71"/>
    </row>
    <row r="72" spans="1:12" x14ac:dyDescent="0.3">
      <c r="D72"/>
      <c r="E72"/>
      <c r="L72"/>
    </row>
    <row r="73" spans="1:12" x14ac:dyDescent="0.3">
      <c r="D73"/>
      <c r="E73"/>
      <c r="L73"/>
    </row>
    <row r="74" spans="1:12" x14ac:dyDescent="0.3">
      <c r="D74"/>
      <c r="E74"/>
      <c r="L74"/>
    </row>
    <row r="75" spans="1:12" x14ac:dyDescent="0.3">
      <c r="D75"/>
      <c r="E75"/>
      <c r="L75"/>
    </row>
    <row r="76" spans="1:12" x14ac:dyDescent="0.3">
      <c r="D76"/>
      <c r="E76"/>
      <c r="L76"/>
    </row>
    <row r="77" spans="1:12" x14ac:dyDescent="0.3">
      <c r="D77"/>
      <c r="E77"/>
      <c r="L77"/>
    </row>
    <row r="78" spans="1:12" x14ac:dyDescent="0.3">
      <c r="D78"/>
      <c r="E78"/>
      <c r="L78"/>
    </row>
    <row r="79" spans="1:12" x14ac:dyDescent="0.3">
      <c r="D79"/>
      <c r="E79"/>
      <c r="L79"/>
    </row>
    <row r="80" spans="1:12" x14ac:dyDescent="0.3">
      <c r="D80"/>
      <c r="E80"/>
      <c r="L80"/>
    </row>
    <row r="81" spans="4:12" x14ac:dyDescent="0.3">
      <c r="D81"/>
      <c r="E81"/>
      <c r="L81"/>
    </row>
    <row r="82" spans="4:12" x14ac:dyDescent="0.3">
      <c r="D82"/>
    </row>
    <row r="83" spans="4:12" x14ac:dyDescent="0.3">
      <c r="D83"/>
    </row>
    <row r="84" spans="4:12" x14ac:dyDescent="0.3">
      <c r="D84"/>
    </row>
  </sheetData>
  <mergeCells count="45">
    <mergeCell ref="K17:N17"/>
    <mergeCell ref="B67:G69"/>
    <mergeCell ref="D56:E56"/>
    <mergeCell ref="D57:E57"/>
    <mergeCell ref="D58:E58"/>
    <mergeCell ref="D59:E59"/>
    <mergeCell ref="D60:E60"/>
    <mergeCell ref="D61:E61"/>
    <mergeCell ref="D62:E62"/>
    <mergeCell ref="A65:B65"/>
    <mergeCell ref="F65:G65"/>
    <mergeCell ref="H65:I65"/>
    <mergeCell ref="B55:G55"/>
    <mergeCell ref="H17:J17"/>
    <mergeCell ref="D63:E63"/>
    <mergeCell ref="D64:E64"/>
    <mergeCell ref="D65:E65"/>
    <mergeCell ref="A63:B63"/>
    <mergeCell ref="F63:G63"/>
    <mergeCell ref="A64:B64"/>
    <mergeCell ref="F64:G64"/>
    <mergeCell ref="A61:B61"/>
    <mergeCell ref="F61:G61"/>
    <mergeCell ref="A62:B62"/>
    <mergeCell ref="F62:G62"/>
    <mergeCell ref="A59:B59"/>
    <mergeCell ref="F59:G59"/>
    <mergeCell ref="A60:B60"/>
    <mergeCell ref="F60:G60"/>
    <mergeCell ref="A57:B57"/>
    <mergeCell ref="F57:G57"/>
    <mergeCell ref="A58:B58"/>
    <mergeCell ref="F58:G58"/>
    <mergeCell ref="D35:F35"/>
    <mergeCell ref="D36:F36"/>
    <mergeCell ref="D37:F37"/>
    <mergeCell ref="B42:C42"/>
    <mergeCell ref="A56:B56"/>
    <mergeCell ref="F56:G56"/>
    <mergeCell ref="B16:D16"/>
    <mergeCell ref="B30:E30"/>
    <mergeCell ref="D31:E31"/>
    <mergeCell ref="D32:F32"/>
    <mergeCell ref="D33:F33"/>
    <mergeCell ref="D34:F34"/>
  </mergeCells>
  <hyperlinks>
    <hyperlink ref="I3" r:id="rId1" xr:uid="{DF162B3C-03E8-4B8E-8CF1-F480D2605A8F}"/>
    <hyperlink ref="I2" r:id="rId2" xr:uid="{028CDA17-360D-47D8-8998-F250151851C1}"/>
    <hyperlink ref="I4" r:id="rId3" xr:uid="{9A9DF07A-1C3F-4E8B-9070-15EB10B20591}"/>
    <hyperlink ref="I6" r:id="rId4" xr:uid="{C06EBCDC-46FD-447A-B0E8-56305C9B3D26}"/>
    <hyperlink ref="I7" r:id="rId5" xr:uid="{E3D900A6-A28C-45E8-9A88-20AD5738ED01}"/>
    <hyperlink ref="I9" r:id="rId6" xr:uid="{08C36056-4C3B-4E55-BE9E-31120ED0B395}"/>
  </hyperlinks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events_sample</vt:lpstr>
      <vt:lpstr>COPILOT_VERSION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jessica navarroservin</cp:lastModifiedBy>
  <dcterms:created xsi:type="dcterms:W3CDTF">2026-02-21T20:15:44Z</dcterms:created>
  <dcterms:modified xsi:type="dcterms:W3CDTF">2026-04-16T05:54:35Z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